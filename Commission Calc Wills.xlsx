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ot\Documents\Wills\"/>
    </mc:Choice>
  </mc:AlternateContent>
  <xr:revisionPtr revIDLastSave="0" documentId="13_ncr:1_{68F143D3-30DE-4F3C-85BE-6D3264074527}" xr6:coauthVersionLast="47" xr6:coauthVersionMax="47" xr10:uidLastSave="{00000000-0000-0000-0000-000000000000}"/>
  <bookViews>
    <workbookView xWindow="-110" yWindow="-110" windowWidth="19420" windowHeight="10300" activeTab="3" xr2:uid="{36082689-51AD-4842-BD82-4E1015C02344}"/>
  </bookViews>
  <sheets>
    <sheet name="Sheet2" sheetId="5" r:id="rId1"/>
    <sheet name="Sheet1" sheetId="4" r:id="rId2"/>
    <sheet name="Sheet3" sheetId="3" r:id="rId3"/>
    <sheet name="Sheet4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0" i="4" l="1"/>
  <c r="K100" i="4"/>
  <c r="M100" i="4" s="1"/>
  <c r="L99" i="4"/>
  <c r="K99" i="4"/>
  <c r="M99" i="4" s="1"/>
  <c r="L58" i="4"/>
  <c r="K58" i="4"/>
  <c r="L57" i="4"/>
  <c r="K57" i="4"/>
  <c r="M57" i="4" s="1"/>
  <c r="L75" i="5"/>
  <c r="K75" i="5"/>
  <c r="M75" i="5" s="1"/>
  <c r="L46" i="5"/>
  <c r="K46" i="5"/>
  <c r="L45" i="5"/>
  <c r="K45" i="5"/>
  <c r="M45" i="5" s="1"/>
  <c r="M58" i="4" l="1"/>
  <c r="M46" i="5"/>
</calcChain>
</file>

<file path=xl/sharedStrings.xml><?xml version="1.0" encoding="utf-8"?>
<sst xmlns="http://schemas.openxmlformats.org/spreadsheetml/2006/main" count="182" uniqueCount="53">
  <si>
    <t>Customer</t>
  </si>
  <si>
    <t>Agent</t>
  </si>
  <si>
    <t>Will Writing Fee</t>
  </si>
  <si>
    <t>Estate Planner</t>
  </si>
  <si>
    <t>EP</t>
  </si>
  <si>
    <t>AM2</t>
  </si>
  <si>
    <t>Agency Manager 2</t>
  </si>
  <si>
    <t>AM1</t>
  </si>
  <si>
    <t>Agency Manager 1</t>
  </si>
  <si>
    <t>UM</t>
  </si>
  <si>
    <t>Unit Manager</t>
  </si>
  <si>
    <t xml:space="preserve">WILLS Customer </t>
  </si>
  <si>
    <t>Agent Details</t>
  </si>
  <si>
    <t>Other Party Master</t>
  </si>
  <si>
    <t>Customer Master</t>
  </si>
  <si>
    <t>Commission Setup</t>
  </si>
  <si>
    <t>Agent Role</t>
  </si>
  <si>
    <t>Role Name</t>
  </si>
  <si>
    <t>Agent Level</t>
  </si>
  <si>
    <t>TRANS_DATE</t>
  </si>
  <si>
    <t>AGNT1</t>
  </si>
  <si>
    <t>Override Commission Amount</t>
  </si>
  <si>
    <t>Total Commission Amount</t>
  </si>
  <si>
    <t>Fee Amount</t>
  </si>
  <si>
    <t>Reporting Manager</t>
  </si>
  <si>
    <t>Reporting Manager Role</t>
  </si>
  <si>
    <t>Reporting Manager Level</t>
  </si>
  <si>
    <t>AGNT2</t>
  </si>
  <si>
    <t>Will Commission Process</t>
  </si>
  <si>
    <t>Fee</t>
  </si>
  <si>
    <t>Customer/Testator</t>
  </si>
  <si>
    <t xml:space="preserve">Agent </t>
  </si>
  <si>
    <t>DIRECT COMM.</t>
  </si>
  <si>
    <t>OVERRIDE COMM.</t>
  </si>
  <si>
    <t>Agent Role - Level</t>
  </si>
  <si>
    <t>Agent &amp; Reporting Manager</t>
  </si>
  <si>
    <t>AGNT3</t>
  </si>
  <si>
    <t>No Reporting Manager</t>
  </si>
  <si>
    <t>CHIN HEN HONG</t>
  </si>
  <si>
    <t>AGENT03</t>
  </si>
  <si>
    <t>Commission Calculation</t>
  </si>
  <si>
    <t>Direct Commission Amount</t>
  </si>
  <si>
    <t>Direct Commission Percent %</t>
  </si>
  <si>
    <r>
      <t xml:space="preserve">Overriding Commission Percent </t>
    </r>
    <r>
      <rPr>
        <b/>
        <strike/>
        <sz val="11"/>
        <color theme="1"/>
        <rFont val="Aptos Narrow"/>
        <family val="2"/>
        <scheme val="minor"/>
      </rPr>
      <t>%</t>
    </r>
  </si>
  <si>
    <t>Agency</t>
  </si>
  <si>
    <t>CHUNG MAN KYAU</t>
  </si>
  <si>
    <t>Override Commission to Agency(Hexagram)</t>
  </si>
  <si>
    <t>HEXAGRAM01</t>
  </si>
  <si>
    <t>AGC</t>
  </si>
  <si>
    <t>CHIN HEN HONG(7773-15-33001)</t>
  </si>
  <si>
    <t>CHUNG MAN KYAU(11995-02-1996)</t>
  </si>
  <si>
    <t>AGENT04</t>
  </si>
  <si>
    <t>Hexagram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</si>
</sst>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trike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2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0" xfId="0" applyAlignment="1">
      <alignment wrapText="1"/>
    </xf>
    <xf numFmtId="0" fontId="1" fillId="3" borderId="1" xfId="0" applyFont="1" applyFill="1" applyBorder="1"/>
    <xf numFmtId="0" fontId="3" fillId="0" borderId="0" xfId="0" applyFont="1"/>
    <xf numFmtId="0" fontId="1" fillId="0" borderId="0" xfId="0" applyFont="1"/>
    <xf numFmtId="0" fontId="0" fillId="4" borderId="1" xfId="0" applyFill="1" applyBorder="1"/>
    <xf numFmtId="43" fontId="0" fillId="0" borderId="1" xfId="1" applyFont="1" applyBorder="1"/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43" fontId="0" fillId="0" borderId="0" xfId="1" applyFont="1" applyBorder="1"/>
    <xf numFmtId="0" fontId="0" fillId="3" borderId="1" xfId="0" applyFill="1" applyBorder="1"/>
    <xf numFmtId="0" fontId="0" fillId="5" borderId="1" xfId="0" applyFill="1" applyBorder="1"/>
    <xf numFmtId="0" fontId="1" fillId="3" borderId="1" xfId="0" applyFont="1" applyFill="1" applyBorder="1" applyAlignment="1">
      <alignment wrapText="1"/>
    </xf>
    <xf numFmtId="0" fontId="0" fillId="0" borderId="1" xfId="0" applyBorder="1" applyAlignment="1">
      <alignment horizontal="left"/>
    </xf>
    <xf numFmtId="14" fontId="0" fillId="0" borderId="0" xfId="0" applyNumberFormat="1"/>
    <xf numFmtId="0" fontId="0" fillId="2" borderId="2" xfId="0" applyFill="1" applyBorder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3" borderId="4" xfId="0" applyFont="1" applyFill="1" applyBorder="1" applyAlignment="1">
      <alignment wrapText="1"/>
    </xf>
    <xf numFmtId="0" fontId="0" fillId="0" borderId="4" xfId="0" applyBorder="1"/>
    <xf numFmtId="0" fontId="1" fillId="3" borderId="5" xfId="0" applyFont="1" applyFill="1" applyBorder="1" applyAlignment="1">
      <alignment vertical="center" wrapText="1"/>
    </xf>
    <xf numFmtId="0" fontId="0" fillId="0" borderId="5" xfId="0" applyBorder="1" applyAlignment="1">
      <alignment horizontal="left"/>
    </xf>
    <xf numFmtId="43" fontId="0" fillId="0" borderId="1" xfId="1" applyFont="1" applyFill="1" applyBorder="1" applyAlignment="1">
      <alignment horizontal="right"/>
    </xf>
    <xf numFmtId="43" fontId="0" fillId="0" borderId="1" xfId="0" applyNumberFormat="1" applyBorder="1"/>
    <xf numFmtId="0" fontId="0" fillId="4" borderId="3" xfId="0" applyFill="1" applyBorder="1"/>
    <xf numFmtId="14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43" fontId="0" fillId="0" borderId="1" xfId="1" applyFont="1" applyBorder="1" applyAlignment="1"/>
    <xf numFmtId="0" fontId="0" fillId="6" borderId="1" xfId="0" applyFill="1" applyBorder="1"/>
    <xf numFmtId="9" fontId="0" fillId="6" borderId="1" xfId="1" applyNumberFormat="1" applyFont="1" applyFill="1" applyBorder="1" applyAlignment="1">
      <alignment horizontal="right"/>
    </xf>
    <xf numFmtId="9" fontId="0" fillId="6" borderId="1" xfId="1" applyNumberFormat="1" applyFont="1" applyFill="1" applyBorder="1" applyAlignment="1"/>
    <xf numFmtId="9" fontId="0" fillId="6" borderId="1" xfId="1" applyNumberFormat="1" applyFont="1" applyFill="1" applyBorder="1"/>
    <xf numFmtId="0" fontId="0" fillId="6" borderId="0" xfId="0" applyFill="1"/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13" Type="http://schemas.openxmlformats.org/officeDocument/2006/relationships/image" Target="../media/image21.png"/><Relationship Id="rId3" Type="http://schemas.openxmlformats.org/officeDocument/2006/relationships/image" Target="../media/image12.png"/><Relationship Id="rId7" Type="http://schemas.openxmlformats.org/officeDocument/2006/relationships/image" Target="../media/image15.png"/><Relationship Id="rId12" Type="http://schemas.openxmlformats.org/officeDocument/2006/relationships/image" Target="../media/image20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4.png"/><Relationship Id="rId11" Type="http://schemas.openxmlformats.org/officeDocument/2006/relationships/image" Target="../media/image19.png"/><Relationship Id="rId5" Type="http://schemas.openxmlformats.org/officeDocument/2006/relationships/image" Target="../media/image13.png"/><Relationship Id="rId10" Type="http://schemas.openxmlformats.org/officeDocument/2006/relationships/image" Target="../media/image18.png"/><Relationship Id="rId4" Type="http://schemas.openxmlformats.org/officeDocument/2006/relationships/image" Target="../media/image1.png"/><Relationship Id="rId9" Type="http://schemas.openxmlformats.org/officeDocument/2006/relationships/image" Target="../media/image17.png"/><Relationship Id="rId14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171451</xdr:colOff>
      <xdr:row>0</xdr:row>
      <xdr:rowOff>0</xdr:rowOff>
    </xdr:from>
    <xdr:to>
      <xdr:col>10</xdr:col>
      <xdr:colOff>685801</xdr:colOff>
      <xdr:row>19</xdr:row>
      <xdr:rowOff>107950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5F8BCB-D86F-4D72-85C1-2454F90C7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1" y="0"/>
          <a:ext cx="7785100" cy="3606800"/>
        </a:xfrm>
        <a:prstGeom prst="rect">
          <a:avLst/>
        </a:prstGeom>
      </xdr:spPr>
    </xdr:pic>
    <xdr:clientData/>
  </xdr:twoCellAnchor>
  <xdr:twoCellAnchor editAs="oneCell">
    <xdr:from>
      <xdr:col>0</xdr:col>
      <xdr:colOff>679450</xdr:colOff>
      <xdr:row>26</xdr:row>
      <xdr:rowOff>31750</xdr:rowOff>
    </xdr:from>
    <xdr:to>
      <xdr:col>4</xdr:col>
      <xdr:colOff>590784</xdr:colOff>
      <xdr:row>32</xdr:row>
      <xdr:rowOff>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8C28C5F-F878-46B6-CEB9-7E1FF1A0F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9450" y="5003800"/>
          <a:ext cx="4559534" cy="1073205"/>
        </a:xfrm>
        <a:prstGeom prst="rect">
          <a:avLst/>
        </a:prstGeom>
      </xdr:spPr>
    </xdr:pic>
    <xdr:clientData/>
  </xdr:twoCellAnchor>
  <xdr:twoCellAnchor editAs="oneCell">
    <xdr:from>
      <xdr:col>0</xdr:col>
      <xdr:colOff>673100</xdr:colOff>
      <xdr:row>32</xdr:row>
      <xdr:rowOff>38100</xdr:rowOff>
    </xdr:from>
    <xdr:to>
      <xdr:col>4</xdr:col>
      <xdr:colOff>317721</xdr:colOff>
      <xdr:row>38</xdr:row>
      <xdr:rowOff>82609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83DD117-F486-9F1A-2AA2-4399BB652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3100" y="6115050"/>
          <a:ext cx="4292821" cy="1149409"/>
        </a:xfrm>
        <a:prstGeom prst="rect">
          <a:avLst/>
        </a:prstGeom>
      </xdr:spPr>
    </xdr:pic>
    <xdr:clientData/>
  </xdr:twoCellAnchor>
  <xdr:twoCellAnchor editAs="oneCell">
    <xdr:from>
      <xdr:col>5</xdr:col>
      <xdr:colOff>31750</xdr:colOff>
      <xdr:row>32</xdr:row>
      <xdr:rowOff>95250</xdr:rowOff>
    </xdr:from>
    <xdr:to>
      <xdr:col>8</xdr:col>
      <xdr:colOff>616161</xdr:colOff>
      <xdr:row>38</xdr:row>
      <xdr:rowOff>25453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90B7140-9D15-9C0A-7A69-07B521E4F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15000" y="6172200"/>
          <a:ext cx="4115011" cy="103510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4</xdr:col>
      <xdr:colOff>616184</xdr:colOff>
      <xdr:row>62</xdr:row>
      <xdr:rowOff>152455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951B5A2-1497-49E3-BC43-792561398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4850" y="11049000"/>
          <a:ext cx="4559534" cy="10732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4</xdr:col>
      <xdr:colOff>349471</xdr:colOff>
      <xdr:row>69</xdr:row>
      <xdr:rowOff>44509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E3622D1-22A3-41CE-A9DC-BDCA10281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" y="12153900"/>
          <a:ext cx="4292821" cy="11494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209550</xdr:colOff>
      <xdr:row>0</xdr:row>
      <xdr:rowOff>0</xdr:rowOff>
    </xdr:from>
    <xdr:to>
      <xdr:col>11</xdr:col>
      <xdr:colOff>787399</xdr:colOff>
      <xdr:row>18</xdr:row>
      <xdr:rowOff>127000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941505-3364-CD58-B351-CDF0A3EA2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0" y="0"/>
          <a:ext cx="8102599" cy="34417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5</xdr:col>
      <xdr:colOff>755965</xdr:colOff>
      <xdr:row>39</xdr:row>
      <xdr:rowOff>101690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16B6A4-2C25-6E43-E14E-6F165679C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4850" y="5708650"/>
          <a:ext cx="6121715" cy="175904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39</xdr:row>
      <xdr:rowOff>146050</xdr:rowOff>
    </xdr:from>
    <xdr:to>
      <xdr:col>6</xdr:col>
      <xdr:colOff>876679</xdr:colOff>
      <xdr:row>51</xdr:row>
      <xdr:rowOff>133463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F46D716-EA48-F3BA-0274-25464B908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900" y="7327900"/>
          <a:ext cx="7372729" cy="2197213"/>
        </a:xfrm>
        <a:prstGeom prst="rect">
          <a:avLst/>
        </a:prstGeom>
      </xdr:spPr>
    </xdr:pic>
    <xdr:clientData/>
  </xdr:twoCellAnchor>
  <xdr:twoCellAnchor editAs="oneCell">
    <xdr:from>
      <xdr:col>7</xdr:col>
      <xdr:colOff>755650</xdr:colOff>
      <xdr:row>45</xdr:row>
      <xdr:rowOff>146050</xdr:rowOff>
    </xdr:from>
    <xdr:to>
      <xdr:col>12</xdr:col>
      <xdr:colOff>419343</xdr:colOff>
      <xdr:row>52</xdr:row>
      <xdr:rowOff>57212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E68EEB-49C4-9452-0709-AEF00A7A1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50250" y="8432800"/>
          <a:ext cx="4724643" cy="12002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5</xdr:col>
      <xdr:colOff>755965</xdr:colOff>
      <xdr:row>79</xdr:row>
      <xdr:rowOff>101690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9810CE5-6688-4B16-A0E0-2B39D614D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4850" y="13258800"/>
          <a:ext cx="6121715" cy="1759040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79</xdr:row>
      <xdr:rowOff>127000</xdr:rowOff>
    </xdr:from>
    <xdr:to>
      <xdr:col>6</xdr:col>
      <xdr:colOff>902079</xdr:colOff>
      <xdr:row>91</xdr:row>
      <xdr:rowOff>114413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DA5C16A-7C35-4B9F-B5C1-1CB695F6C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9300" y="15043150"/>
          <a:ext cx="7372729" cy="2197213"/>
        </a:xfrm>
        <a:prstGeom prst="rect">
          <a:avLst/>
        </a:prstGeom>
      </xdr:spPr>
    </xdr:pic>
    <xdr:clientData/>
  </xdr:twoCellAnchor>
  <xdr:twoCellAnchor editAs="oneCell">
    <xdr:from>
      <xdr:col>7</xdr:col>
      <xdr:colOff>177800</xdr:colOff>
      <xdr:row>85</xdr:row>
      <xdr:rowOff>139700</xdr:rowOff>
    </xdr:from>
    <xdr:to>
      <xdr:col>12</xdr:col>
      <xdr:colOff>286016</xdr:colOff>
      <xdr:row>93</xdr:row>
      <xdr:rowOff>57221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0E45D13-2F39-24CC-6970-BBFFDD57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47050" y="16160750"/>
          <a:ext cx="5169166" cy="13907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595314</xdr:colOff>
      <xdr:row>4</xdr:row>
      <xdr:rowOff>7938</xdr:rowOff>
    </xdr:from>
    <xdr:to>
      <xdr:col>12</xdr:col>
      <xdr:colOff>168669</xdr:colOff>
      <xdr:row>13</xdr:row>
      <xdr:rowOff>47712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3CFA8F-7898-AA23-E613-F21EEB84C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5314" y="762001"/>
          <a:ext cx="7645793" cy="16828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10</xdr:col>
      <xdr:colOff>206701</xdr:colOff>
      <xdr:row>26</xdr:row>
      <xdr:rowOff>92136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C507D0-5AFE-13E3-E3A8-9364909F9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1188" y="3698875"/>
          <a:ext cx="6350326" cy="11875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14</xdr:col>
      <xdr:colOff>517998</xdr:colOff>
      <xdr:row>53</xdr:row>
      <xdr:rowOff>146208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246E1D8-89F4-110B-72AB-0C8F39ACF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188" y="6826250"/>
          <a:ext cx="9201623" cy="3067208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62</xdr:row>
      <xdr:rowOff>127000</xdr:rowOff>
    </xdr:from>
    <xdr:to>
      <xdr:col>15</xdr:col>
      <xdr:colOff>243377</xdr:colOff>
      <xdr:row>86</xdr:row>
      <xdr:rowOff>133576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E6926DB-CC7E-627F-E584-5CF3B3648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2938" y="11541125"/>
          <a:ext cx="9506439" cy="43880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13</xdr:col>
      <xdr:colOff>500504</xdr:colOff>
      <xdr:row>103</xdr:row>
      <xdr:rowOff>136626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2330D30-78D7-0A12-61C5-5ACAA9DC0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1188" y="17097375"/>
          <a:ext cx="8572941" cy="1962251"/>
        </a:xfrm>
        <a:prstGeom prst="rect">
          <a:avLst/>
        </a:prstGeom>
      </xdr:spPr>
    </xdr:pic>
    <xdr:clientData/>
  </xdr:twoCellAnchor>
  <xdr:twoCellAnchor editAs="oneCell">
    <xdr:from>
      <xdr:col>1</xdr:col>
      <xdr:colOff>206375</xdr:colOff>
      <xdr:row>103</xdr:row>
      <xdr:rowOff>150813</xdr:rowOff>
    </xdr:from>
    <xdr:to>
      <xdr:col>13</xdr:col>
      <xdr:colOff>598923</xdr:colOff>
      <xdr:row>117</xdr:row>
      <xdr:rowOff>116018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E92A31-E775-DB7D-0A86-587365CB6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17563" y="19073813"/>
          <a:ext cx="8464985" cy="2521080"/>
        </a:xfrm>
        <a:prstGeom prst="rect">
          <a:avLst/>
        </a:prstGeom>
      </xdr:spPr>
    </xdr:pic>
    <xdr:clientData/>
  </xdr:twoCellAnchor>
  <xdr:twoCellAnchor editAs="oneCell">
    <xdr:from>
      <xdr:col>14</xdr:col>
      <xdr:colOff>198437</xdr:colOff>
      <xdr:row>110</xdr:row>
      <xdr:rowOff>79375</xdr:rowOff>
    </xdr:from>
    <xdr:to>
      <xdr:col>20</xdr:col>
      <xdr:colOff>554272</xdr:colOff>
      <xdr:row>117</xdr:row>
      <xdr:rowOff>96905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EF0319D-5C6E-E24B-55E3-8BB04060E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493250" y="20280313"/>
          <a:ext cx="4578585" cy="1295467"/>
        </a:xfrm>
        <a:prstGeom prst="rect">
          <a:avLst/>
        </a:prstGeom>
      </xdr:spPr>
    </xdr:pic>
    <xdr:clientData/>
  </xdr:twoCellAnchor>
  <xdr:twoCellAnchor editAs="oneCell">
    <xdr:from>
      <xdr:col>1</xdr:col>
      <xdr:colOff>23813</xdr:colOff>
      <xdr:row>121</xdr:row>
      <xdr:rowOff>63500</xdr:rowOff>
    </xdr:from>
    <xdr:to>
      <xdr:col>10</xdr:col>
      <xdr:colOff>59056</xdr:colOff>
      <xdr:row>128</xdr:row>
      <xdr:rowOff>81029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2AD6F6D-B1AF-B789-85B8-3C6DBA521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35001" y="22272625"/>
          <a:ext cx="6178868" cy="1295467"/>
        </a:xfrm>
        <a:prstGeom prst="rect">
          <a:avLst/>
        </a:prstGeom>
      </xdr:spPr>
    </xdr:pic>
    <xdr:clientData/>
  </xdr:twoCellAnchor>
  <xdr:twoCellAnchor editAs="oneCell">
    <xdr:from>
      <xdr:col>10</xdr:col>
      <xdr:colOff>142874</xdr:colOff>
      <xdr:row>121</xdr:row>
      <xdr:rowOff>134938</xdr:rowOff>
    </xdr:from>
    <xdr:to>
      <xdr:col>17</xdr:col>
      <xdr:colOff>360598</xdr:colOff>
      <xdr:row>128</xdr:row>
      <xdr:rowOff>95314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EF66E9C-7249-920E-2343-99D4DC84D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97687" y="22344063"/>
          <a:ext cx="4591286" cy="1238314"/>
        </a:xfrm>
        <a:prstGeom prst="rect">
          <a:avLst/>
        </a:prstGeom>
      </xdr:spPr>
    </xdr:pic>
    <xdr:clientData/>
  </xdr:twoCellAnchor>
  <xdr:twoCellAnchor editAs="oneCell">
    <xdr:from>
      <xdr:col>1</xdr:col>
      <xdr:colOff>87312</xdr:colOff>
      <xdr:row>135</xdr:row>
      <xdr:rowOff>150812</xdr:rowOff>
    </xdr:from>
    <xdr:to>
      <xdr:col>10</xdr:col>
      <xdr:colOff>217809</xdr:colOff>
      <xdr:row>142</xdr:row>
      <xdr:rowOff>3232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C5C30F8-3813-3CF4-99F8-11074F075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98500" y="24915812"/>
          <a:ext cx="6274122" cy="11303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14</xdr:col>
      <xdr:colOff>403692</xdr:colOff>
      <xdr:row>150</xdr:row>
      <xdr:rowOff>128641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623FA20-A31B-E8D9-2653-EC93E97E8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11188" y="26590625"/>
          <a:ext cx="9087317" cy="1041454"/>
        </a:xfrm>
        <a:prstGeom prst="rect">
          <a:avLst/>
        </a:prstGeom>
      </xdr:spPr>
    </xdr:pic>
    <xdr:clientData/>
  </xdr:twoCellAnchor>
  <xdr:twoCellAnchor editAs="oneCell">
    <xdr:from>
      <xdr:col>1</xdr:col>
      <xdr:colOff>39687</xdr:colOff>
      <xdr:row>156</xdr:row>
      <xdr:rowOff>166688</xdr:rowOff>
    </xdr:from>
    <xdr:to>
      <xdr:col>12</xdr:col>
      <xdr:colOff>567148</xdr:colOff>
      <xdr:row>161</xdr:row>
      <xdr:rowOff>136571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2662800-FADB-C335-24FB-772FD12AE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50875" y="28765501"/>
          <a:ext cx="7988711" cy="882695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153</xdr:row>
      <xdr:rowOff>158750</xdr:rowOff>
    </xdr:from>
    <xdr:to>
      <xdr:col>13</xdr:col>
      <xdr:colOff>17877</xdr:colOff>
      <xdr:row>157</xdr:row>
      <xdr:rowOff>44482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6DC68B7-96F0-AE45-D57F-EA78F4C78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42938" y="28209875"/>
          <a:ext cx="8058564" cy="615982"/>
        </a:xfrm>
        <a:prstGeom prst="rect">
          <a:avLst/>
        </a:prstGeom>
      </xdr:spPr>
    </xdr:pic>
    <xdr:clientData/>
  </xdr:twoCellAnchor>
  <xdr:twoCellAnchor editAs="oneCell">
    <xdr:from>
      <xdr:col>1</xdr:col>
      <xdr:colOff>55562</xdr:colOff>
      <xdr:row>169</xdr:row>
      <xdr:rowOff>39687</xdr:rowOff>
    </xdr:from>
    <xdr:to>
      <xdr:col>13</xdr:col>
      <xdr:colOff>124243</xdr:colOff>
      <xdr:row>172</xdr:row>
      <xdr:rowOff>31777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3E81A39-73F9-4F30-8029-D372F068F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66750" y="31011812"/>
          <a:ext cx="8141118" cy="539778"/>
        </a:xfrm>
        <a:prstGeom prst="rect">
          <a:avLst/>
        </a:prstGeom>
      </xdr:spPr>
    </xdr:pic>
    <xdr:clientData/>
  </xdr:twoCellAnchor>
  <xdr:twoCellAnchor editAs="oneCell">
    <xdr:from>
      <xdr:col>1</xdr:col>
      <xdr:colOff>55563</xdr:colOff>
      <xdr:row>166</xdr:row>
      <xdr:rowOff>31750</xdr:rowOff>
    </xdr:from>
    <xdr:to>
      <xdr:col>13</xdr:col>
      <xdr:colOff>41690</xdr:colOff>
      <xdr:row>169</xdr:row>
      <xdr:rowOff>100045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ED857E3-BDE8-4768-9308-A24F9BE1E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66751" y="30456188"/>
          <a:ext cx="8058564" cy="61598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254000</xdr:colOff>
      <xdr:row>4</xdr:row>
      <xdr:rowOff>0</xdr:rowOff>
    </xdr:from>
    <xdr:to>
      <xdr:col>1</xdr:col>
      <xdr:colOff>254000</xdr:colOff>
      <xdr:row>6</xdr:row>
      <xdr:rowOff>127000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109A891-A097-F190-6C75-C8456B2F23FF}"/>
            </a:ext>
          </a:extLst>
        </xdr:cNvPr>
        <xdr:cNvCxnSpPr/>
      </xdr:nvCxnSpPr>
      <xdr:spPr>
        <a:xfrm>
          <a:off x="863600" y="736600"/>
          <a:ext cx="0" cy="495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184150</xdr:colOff>
      <xdr:row>9</xdr:row>
      <xdr:rowOff>44450</xdr:rowOff>
    </xdr:from>
    <xdr:to>
      <xdr:col>1</xdr:col>
      <xdr:colOff>184150</xdr:colOff>
      <xdr:row>12</xdr:row>
      <xdr:rowOff>171450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3DE43663-A290-45B2-9137-1158A3CA0B1C}"/>
            </a:ext>
          </a:extLst>
        </xdr:cNvPr>
        <xdr:cNvCxnSpPr/>
      </xdr:nvCxnSpPr>
      <xdr:spPr>
        <a:xfrm>
          <a:off x="793750" y="1701800"/>
          <a:ext cx="0" cy="6794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190500</xdr:colOff>
      <xdr:row>15</xdr:row>
      <xdr:rowOff>0</xdr:rowOff>
    </xdr:from>
    <xdr:to>
      <xdr:col>1</xdr:col>
      <xdr:colOff>190500</xdr:colOff>
      <xdr:row>18</xdr:row>
      <xdr:rowOff>127000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B8EBFE1E-9E37-478B-9E02-FB37557A9051}"/>
            </a:ext>
          </a:extLst>
        </xdr:cNvPr>
        <xdr:cNvCxnSpPr/>
      </xdr:nvCxnSpPr>
      <xdr:spPr>
        <a:xfrm>
          <a:off x="800100" y="2762250"/>
          <a:ext cx="0" cy="6794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241300</xdr:colOff>
      <xdr:row>21</xdr:row>
      <xdr:rowOff>38100</xdr:rowOff>
    </xdr:from>
    <xdr:to>
      <xdr:col>1</xdr:col>
      <xdr:colOff>241300</xdr:colOff>
      <xdr:row>24</xdr:row>
      <xdr:rowOff>165100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3645E40B-9092-43F6-8091-2FD75EF3F23F}"/>
            </a:ext>
          </a:extLst>
        </xdr:cNvPr>
        <xdr:cNvCxnSpPr/>
      </xdr:nvCxnSpPr>
      <xdr:spPr>
        <a:xfrm>
          <a:off x="1358900" y="3905250"/>
          <a:ext cx="0" cy="6794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68188-614D-44FC-9061-F1FA5B617BAA}">
  <dimension ref="A1:M75"/>
  <sheetViews>
    <sheetView workbookViewId="0">
      <selection activeCell="C12" sqref="C12"/>
    </sheetView>
  </sheetViews>
  <sheetFormatPr defaultRowHeight="14.5" x14ac:dyDescent="0.35"/>
  <cols>
    <col min="1" max="1" width="10.08984375" bestFit="1" customWidth="1"/>
    <col min="2" max="2" width="28.453125" bestFit="1" customWidth="1"/>
    <col min="3" max="3" width="15.453125" bestFit="1" customWidth="1"/>
    <col min="4" max="4" width="12.54296875" bestFit="1" customWidth="1"/>
    <col min="5" max="5" width="20" bestFit="1" customWidth="1"/>
    <col min="6" max="6" width="18.7265625" bestFit="1" customWidth="1"/>
    <col min="7" max="7" width="15.90625" bestFit="1" customWidth="1"/>
    <col min="8" max="8" width="15.90625" customWidth="1"/>
    <col min="9" max="9" width="17.08984375" customWidth="1"/>
    <col min="10" max="10" width="16.453125" bestFit="1" customWidth="1"/>
    <col min="11" max="11" width="15.453125" bestFit="1" customWidth="1"/>
    <col min="12" max="12" width="15.453125" customWidth="1"/>
    <col min="13" max="13" width="13.36328125" bestFit="1" customWidth="1"/>
    <col min="14" max="14" width="20.90625" customWidth="1"/>
    <col min="15" max="15" width="18.81640625" customWidth="1"/>
  </cols>
  <sheetData>
    <row r="1" spans="2:9" x14ac:dyDescent="0.35">
      <c r="B1" s="6" t="s">
        <v>34</v>
      </c>
    </row>
    <row r="2" spans="2:9" x14ac:dyDescent="0.35">
      <c r="B2" s="13" t="s">
        <v>16</v>
      </c>
      <c r="C2" s="13" t="s">
        <v>17</v>
      </c>
      <c r="D2" s="13" t="s">
        <v>18</v>
      </c>
      <c r="E2" s="3"/>
      <c r="F2" s="3"/>
    </row>
    <row r="3" spans="2:9" x14ac:dyDescent="0.35">
      <c r="B3" s="7" t="s">
        <v>4</v>
      </c>
      <c r="C3" s="7" t="s">
        <v>3</v>
      </c>
      <c r="D3" s="7">
        <v>4</v>
      </c>
      <c r="E3" s="12"/>
      <c r="F3" s="12"/>
    </row>
    <row r="4" spans="2:9" x14ac:dyDescent="0.35">
      <c r="B4" s="7" t="s">
        <v>9</v>
      </c>
      <c r="C4" s="7" t="s">
        <v>10</v>
      </c>
      <c r="D4" s="7">
        <v>3</v>
      </c>
      <c r="E4" s="12"/>
      <c r="F4" s="12"/>
    </row>
    <row r="5" spans="2:9" x14ac:dyDescent="0.35">
      <c r="B5" s="7" t="s">
        <v>7</v>
      </c>
      <c r="C5" s="7" t="s">
        <v>8</v>
      </c>
      <c r="D5" s="7">
        <v>2</v>
      </c>
      <c r="E5" s="12"/>
      <c r="F5" s="12"/>
    </row>
    <row r="6" spans="2:9" x14ac:dyDescent="0.35">
      <c r="B6" s="7" t="s">
        <v>5</v>
      </c>
      <c r="C6" s="7" t="s">
        <v>6</v>
      </c>
      <c r="D6" s="7">
        <v>1</v>
      </c>
      <c r="E6" s="12"/>
      <c r="F6" s="12"/>
      <c r="G6" s="3"/>
    </row>
    <row r="7" spans="2:9" x14ac:dyDescent="0.35">
      <c r="I7" s="3"/>
    </row>
    <row r="8" spans="2:9" x14ac:dyDescent="0.35">
      <c r="I8" s="3"/>
    </row>
    <row r="9" spans="2:9" x14ac:dyDescent="0.35">
      <c r="I9" s="3"/>
    </row>
    <row r="10" spans="2:9" x14ac:dyDescent="0.35">
      <c r="I10" s="3"/>
    </row>
    <row r="11" spans="2:9" x14ac:dyDescent="0.35">
      <c r="I11" s="3"/>
    </row>
    <row r="12" spans="2:9" x14ac:dyDescent="0.35">
      <c r="I12" s="3"/>
    </row>
    <row r="13" spans="2:9" x14ac:dyDescent="0.35">
      <c r="I13" s="3"/>
    </row>
    <row r="14" spans="2:9" x14ac:dyDescent="0.35">
      <c r="I14" s="3"/>
    </row>
    <row r="15" spans="2:9" x14ac:dyDescent="0.35">
      <c r="I15" s="3"/>
    </row>
    <row r="16" spans="2:9" x14ac:dyDescent="0.35">
      <c r="I16" s="3"/>
    </row>
    <row r="17" spans="1:12" x14ac:dyDescent="0.35">
      <c r="I17" s="3"/>
    </row>
    <row r="18" spans="1:12" x14ac:dyDescent="0.35">
      <c r="I18" s="3"/>
    </row>
    <row r="19" spans="1:12" x14ac:dyDescent="0.35">
      <c r="I19" s="3"/>
    </row>
    <row r="21" spans="1:12" x14ac:dyDescent="0.35">
      <c r="B21" s="6" t="s">
        <v>35</v>
      </c>
    </row>
    <row r="23" spans="1:12" ht="29" x14ac:dyDescent="0.35">
      <c r="A23" s="17"/>
      <c r="B23" s="4" t="s">
        <v>0</v>
      </c>
      <c r="C23" s="4" t="s">
        <v>31</v>
      </c>
      <c r="D23" s="4" t="s">
        <v>16</v>
      </c>
      <c r="E23" s="4" t="s">
        <v>18</v>
      </c>
      <c r="F23" s="15" t="s">
        <v>24</v>
      </c>
      <c r="G23" s="21" t="s">
        <v>25</v>
      </c>
      <c r="H23" s="23" t="s">
        <v>26</v>
      </c>
      <c r="I23" s="19"/>
      <c r="J23" s="19"/>
      <c r="K23" s="20"/>
      <c r="L23" s="20"/>
    </row>
    <row r="24" spans="1:12" x14ac:dyDescent="0.35">
      <c r="A24" s="17">
        <v>45379</v>
      </c>
      <c r="B24" s="1" t="s">
        <v>49</v>
      </c>
      <c r="C24" s="1" t="s">
        <v>39</v>
      </c>
      <c r="D24" s="1" t="s">
        <v>3</v>
      </c>
      <c r="E24" s="16">
        <v>4</v>
      </c>
      <c r="F24" s="1" t="s">
        <v>27</v>
      </c>
      <c r="G24" s="22" t="s">
        <v>10</v>
      </c>
      <c r="H24" s="24">
        <v>3</v>
      </c>
    </row>
    <row r="25" spans="1:12" x14ac:dyDescent="0.35">
      <c r="C25" s="41" t="s">
        <v>32</v>
      </c>
      <c r="D25" s="41"/>
      <c r="F25" s="41" t="s">
        <v>33</v>
      </c>
      <c r="G25" s="41"/>
      <c r="I25" s="40"/>
      <c r="J25" s="40"/>
    </row>
    <row r="43" spans="2:13" x14ac:dyDescent="0.35">
      <c r="B43" s="6" t="s">
        <v>40</v>
      </c>
    </row>
    <row r="44" spans="2:13" ht="43.5" x14ac:dyDescent="0.35">
      <c r="B44" s="9" t="s">
        <v>19</v>
      </c>
      <c r="C44" s="10" t="s">
        <v>30</v>
      </c>
      <c r="D44" s="9" t="s">
        <v>1</v>
      </c>
      <c r="E44" s="9" t="s">
        <v>16</v>
      </c>
      <c r="F44" s="10" t="s">
        <v>18</v>
      </c>
      <c r="G44" s="9" t="s">
        <v>29</v>
      </c>
      <c r="H44" s="9" t="s">
        <v>23</v>
      </c>
      <c r="I44" s="10" t="s">
        <v>42</v>
      </c>
      <c r="J44" s="10" t="s">
        <v>43</v>
      </c>
      <c r="K44" s="10" t="s">
        <v>41</v>
      </c>
      <c r="L44" s="10" t="s">
        <v>21</v>
      </c>
      <c r="M44" s="10" t="s">
        <v>22</v>
      </c>
    </row>
    <row r="45" spans="2:13" x14ac:dyDescent="0.35">
      <c r="B45" s="2">
        <v>45379</v>
      </c>
      <c r="C45" s="1" t="s">
        <v>38</v>
      </c>
      <c r="D45" s="35" t="s">
        <v>39</v>
      </c>
      <c r="E45" s="1" t="s">
        <v>4</v>
      </c>
      <c r="F45" s="1">
        <v>4</v>
      </c>
      <c r="G45" s="14" t="s">
        <v>2</v>
      </c>
      <c r="H45" s="8">
        <v>450</v>
      </c>
      <c r="I45" s="36">
        <v>0.15</v>
      </c>
      <c r="J45" s="8">
        <v>0</v>
      </c>
      <c r="K45" s="26">
        <f>H45*I45</f>
        <v>67.5</v>
      </c>
      <c r="L45" s="1">
        <f>J45*H45</f>
        <v>0</v>
      </c>
      <c r="M45" s="26">
        <f>K45+L45</f>
        <v>67.5</v>
      </c>
    </row>
    <row r="46" spans="2:13" x14ac:dyDescent="0.35">
      <c r="B46" s="2">
        <v>45379</v>
      </c>
      <c r="C46" s="1" t="s">
        <v>38</v>
      </c>
      <c r="D46" s="35" t="s">
        <v>27</v>
      </c>
      <c r="E46" s="1" t="s">
        <v>9</v>
      </c>
      <c r="F46" s="1">
        <v>3</v>
      </c>
      <c r="G46" s="14" t="s">
        <v>2</v>
      </c>
      <c r="H46" s="8">
        <v>450</v>
      </c>
      <c r="I46" s="25">
        <v>0</v>
      </c>
      <c r="J46" s="38">
        <v>0.03</v>
      </c>
      <c r="K46" s="26">
        <f>H46*I46</f>
        <v>0</v>
      </c>
      <c r="L46" s="1">
        <f>J46*H46</f>
        <v>13.5</v>
      </c>
      <c r="M46" s="26">
        <f>K46+L46</f>
        <v>13.5</v>
      </c>
    </row>
    <row r="51" spans="2:5" x14ac:dyDescent="0.35">
      <c r="B51" s="6" t="s">
        <v>37</v>
      </c>
    </row>
    <row r="53" spans="2:5" x14ac:dyDescent="0.35">
      <c r="B53" s="4" t="s">
        <v>0</v>
      </c>
      <c r="C53" s="4" t="s">
        <v>31</v>
      </c>
      <c r="D53" s="4" t="s">
        <v>16</v>
      </c>
      <c r="E53" s="4" t="s">
        <v>18</v>
      </c>
    </row>
    <row r="54" spans="2:5" x14ac:dyDescent="0.35">
      <c r="B54" s="1" t="s">
        <v>38</v>
      </c>
      <c r="C54" s="1" t="s">
        <v>39</v>
      </c>
      <c r="D54" s="1" t="s">
        <v>3</v>
      </c>
      <c r="E54" s="16">
        <v>4</v>
      </c>
    </row>
    <row r="55" spans="2:5" x14ac:dyDescent="0.35">
      <c r="C55" s="41" t="s">
        <v>32</v>
      </c>
      <c r="D55" s="41"/>
      <c r="E55" s="18" t="s">
        <v>33</v>
      </c>
    </row>
    <row r="73" spans="2:13" x14ac:dyDescent="0.35">
      <c r="B73" s="6" t="s">
        <v>40</v>
      </c>
    </row>
    <row r="74" spans="2:13" ht="43.5" x14ac:dyDescent="0.35">
      <c r="B74" s="9" t="s">
        <v>19</v>
      </c>
      <c r="C74" s="10" t="s">
        <v>30</v>
      </c>
      <c r="D74" s="9" t="s">
        <v>1</v>
      </c>
      <c r="E74" s="9" t="s">
        <v>16</v>
      </c>
      <c r="F74" s="10" t="s">
        <v>18</v>
      </c>
      <c r="G74" s="9" t="s">
        <v>29</v>
      </c>
      <c r="H74" s="9" t="s">
        <v>23</v>
      </c>
      <c r="I74" s="10" t="s">
        <v>42</v>
      </c>
      <c r="J74" s="10" t="s">
        <v>43</v>
      </c>
      <c r="K74" s="10" t="s">
        <v>41</v>
      </c>
      <c r="L74" s="10" t="s">
        <v>21</v>
      </c>
      <c r="M74" s="10" t="s">
        <v>22</v>
      </c>
    </row>
    <row r="75" spans="2:13" x14ac:dyDescent="0.35">
      <c r="B75" s="2">
        <v>45379</v>
      </c>
      <c r="C75" s="1" t="s">
        <v>38</v>
      </c>
      <c r="D75" s="35" t="s">
        <v>39</v>
      </c>
      <c r="E75" s="1" t="s">
        <v>4</v>
      </c>
      <c r="F75" s="1">
        <v>4</v>
      </c>
      <c r="G75" s="14" t="s">
        <v>2</v>
      </c>
      <c r="H75" s="8">
        <v>450</v>
      </c>
      <c r="I75" s="36">
        <v>0.15</v>
      </c>
      <c r="J75" s="38">
        <v>0.02</v>
      </c>
      <c r="K75" s="26">
        <f>H75*I75</f>
        <v>67.5</v>
      </c>
      <c r="L75" s="26">
        <f>J75*H75</f>
        <v>9</v>
      </c>
      <c r="M75" s="26">
        <f>K75+L75</f>
        <v>76.5</v>
      </c>
    </row>
  </sheetData>
  <mergeCells count="4">
    <mergeCell ref="I25:J25"/>
    <mergeCell ref="C25:D25"/>
    <mergeCell ref="F25:G25"/>
    <mergeCell ref="C55:D5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87455-798E-4D01-A44F-00C1C508093B}">
  <dimension ref="A2:M100"/>
  <sheetViews>
    <sheetView workbookViewId="0">
      <selection activeCell="G59" sqref="G59"/>
    </sheetView>
  </sheetViews>
  <sheetFormatPr defaultRowHeight="14.5" x14ac:dyDescent="0.35"/>
  <cols>
    <col min="1" max="1" width="10.08984375" bestFit="1" customWidth="1"/>
    <col min="2" max="2" width="37.453125" bestFit="1" customWidth="1"/>
    <col min="3" max="3" width="16.54296875" bestFit="1" customWidth="1"/>
    <col min="4" max="4" width="12.54296875" bestFit="1" customWidth="1"/>
    <col min="5" max="5" width="10.26953125" bestFit="1" customWidth="1"/>
    <col min="6" max="6" width="16.453125" bestFit="1" customWidth="1"/>
    <col min="7" max="7" width="20.6328125" bestFit="1" customWidth="1"/>
    <col min="8" max="8" width="21.36328125" bestFit="1" customWidth="1"/>
    <col min="9" max="9" width="13" customWidth="1"/>
    <col min="10" max="10" width="13.1796875" customWidth="1"/>
    <col min="11" max="11" width="12.81640625" customWidth="1"/>
    <col min="12" max="12" width="12.08984375" customWidth="1"/>
    <col min="13" max="13" width="11.81640625" customWidth="1"/>
  </cols>
  <sheetData>
    <row r="2" spans="2:4" x14ac:dyDescent="0.35">
      <c r="B2" s="6" t="s">
        <v>34</v>
      </c>
    </row>
    <row r="3" spans="2:4" x14ac:dyDescent="0.35">
      <c r="B3" s="13" t="s">
        <v>16</v>
      </c>
      <c r="C3" s="13" t="s">
        <v>17</v>
      </c>
      <c r="D3" s="13" t="s">
        <v>18</v>
      </c>
    </row>
    <row r="4" spans="2:4" x14ac:dyDescent="0.35">
      <c r="B4" s="7" t="s">
        <v>4</v>
      </c>
      <c r="C4" s="7" t="s">
        <v>3</v>
      </c>
      <c r="D4" s="7">
        <v>4</v>
      </c>
    </row>
    <row r="5" spans="2:4" x14ac:dyDescent="0.35">
      <c r="B5" s="7" t="s">
        <v>9</v>
      </c>
      <c r="C5" s="7" t="s">
        <v>10</v>
      </c>
      <c r="D5" s="7">
        <v>3</v>
      </c>
    </row>
    <row r="6" spans="2:4" x14ac:dyDescent="0.35">
      <c r="B6" s="7" t="s">
        <v>7</v>
      </c>
      <c r="C6" s="7" t="s">
        <v>8</v>
      </c>
      <c r="D6" s="7">
        <v>2</v>
      </c>
    </row>
    <row r="7" spans="2:4" x14ac:dyDescent="0.35">
      <c r="B7" s="7" t="s">
        <v>5</v>
      </c>
      <c r="C7" s="7" t="s">
        <v>6</v>
      </c>
      <c r="D7" s="7">
        <v>1</v>
      </c>
    </row>
    <row r="8" spans="2:4" x14ac:dyDescent="0.35">
      <c r="B8" s="27" t="s">
        <v>44</v>
      </c>
      <c r="C8" s="27" t="s">
        <v>44</v>
      </c>
      <c r="D8" s="27">
        <v>0</v>
      </c>
    </row>
    <row r="22" spans="1:12" x14ac:dyDescent="0.35">
      <c r="B22" s="6" t="s">
        <v>35</v>
      </c>
    </row>
    <row r="24" spans="1:12" s="31" customFormat="1" x14ac:dyDescent="0.35">
      <c r="A24" s="28"/>
      <c r="B24" s="29" t="s">
        <v>0</v>
      </c>
      <c r="C24" s="29" t="s">
        <v>31</v>
      </c>
      <c r="D24" s="29" t="s">
        <v>16</v>
      </c>
      <c r="E24" s="29" t="s">
        <v>18</v>
      </c>
      <c r="F24" s="29" t="s">
        <v>24</v>
      </c>
      <c r="G24" s="32" t="s">
        <v>25</v>
      </c>
      <c r="H24" s="33" t="s">
        <v>26</v>
      </c>
      <c r="I24" s="30"/>
      <c r="J24" s="30"/>
      <c r="K24" s="30"/>
      <c r="L24" s="30"/>
    </row>
    <row r="25" spans="1:12" x14ac:dyDescent="0.35">
      <c r="A25" s="17">
        <v>45379</v>
      </c>
      <c r="B25" s="1" t="s">
        <v>50</v>
      </c>
      <c r="C25" s="1" t="s">
        <v>20</v>
      </c>
      <c r="D25" s="1" t="s">
        <v>3</v>
      </c>
      <c r="E25" s="16">
        <v>4</v>
      </c>
      <c r="F25" s="1" t="s">
        <v>36</v>
      </c>
      <c r="G25" s="22" t="s">
        <v>10</v>
      </c>
      <c r="H25" s="24">
        <v>3</v>
      </c>
    </row>
    <row r="26" spans="1:12" x14ac:dyDescent="0.35">
      <c r="C26" s="41" t="s">
        <v>32</v>
      </c>
      <c r="D26" s="41"/>
      <c r="F26" s="41" t="s">
        <v>33</v>
      </c>
      <c r="G26" s="41"/>
      <c r="I26" s="40"/>
      <c r="J26" s="40"/>
    </row>
    <row r="55" spans="2:13" s="11" customFormat="1" x14ac:dyDescent="0.35">
      <c r="B55" s="6" t="s">
        <v>40</v>
      </c>
      <c r="C55"/>
      <c r="D55"/>
      <c r="E55"/>
      <c r="F55"/>
      <c r="G55"/>
      <c r="H55"/>
      <c r="I55"/>
      <c r="J55"/>
      <c r="K55"/>
      <c r="L55"/>
      <c r="M55"/>
    </row>
    <row r="56" spans="2:13" s="11" customFormat="1" ht="43.5" x14ac:dyDescent="0.35">
      <c r="B56" s="4" t="s">
        <v>19</v>
      </c>
      <c r="C56" s="4" t="s">
        <v>30</v>
      </c>
      <c r="D56" s="4" t="s">
        <v>1</v>
      </c>
      <c r="E56" s="4" t="s">
        <v>16</v>
      </c>
      <c r="F56" s="4" t="s">
        <v>18</v>
      </c>
      <c r="G56" s="4" t="s">
        <v>29</v>
      </c>
      <c r="H56" s="4" t="s">
        <v>23</v>
      </c>
      <c r="I56" s="15" t="s">
        <v>42</v>
      </c>
      <c r="J56" s="15" t="s">
        <v>43</v>
      </c>
      <c r="K56" s="15" t="s">
        <v>41</v>
      </c>
      <c r="L56" s="15" t="s">
        <v>21</v>
      </c>
      <c r="M56" s="15" t="s">
        <v>22</v>
      </c>
    </row>
    <row r="57" spans="2:13" s="11" customFormat="1" x14ac:dyDescent="0.35">
      <c r="B57" s="2">
        <v>45379</v>
      </c>
      <c r="C57" s="1" t="s">
        <v>45</v>
      </c>
      <c r="D57" s="35" t="s">
        <v>20</v>
      </c>
      <c r="E57" s="1" t="s">
        <v>4</v>
      </c>
      <c r="F57" s="1">
        <v>4</v>
      </c>
      <c r="G57" s="14" t="s">
        <v>2</v>
      </c>
      <c r="H57" s="34">
        <v>450</v>
      </c>
      <c r="I57" s="36">
        <v>0.3</v>
      </c>
      <c r="J57" s="34">
        <v>0</v>
      </c>
      <c r="K57" s="26">
        <f>H57*I57</f>
        <v>135</v>
      </c>
      <c r="L57" s="1">
        <f>J57*H57</f>
        <v>0</v>
      </c>
      <c r="M57" s="26">
        <f>K57+L57</f>
        <v>135</v>
      </c>
    </row>
    <row r="58" spans="2:13" s="11" customFormat="1" x14ac:dyDescent="0.35">
      <c r="B58" s="2">
        <v>45379</v>
      </c>
      <c r="C58" s="1" t="s">
        <v>45</v>
      </c>
      <c r="D58" s="35" t="s">
        <v>36</v>
      </c>
      <c r="E58" s="1" t="s">
        <v>9</v>
      </c>
      <c r="F58" s="1">
        <v>3</v>
      </c>
      <c r="G58" s="14" t="s">
        <v>2</v>
      </c>
      <c r="H58" s="34">
        <v>450</v>
      </c>
      <c r="I58" s="25">
        <v>0</v>
      </c>
      <c r="J58" s="37">
        <v>0.05</v>
      </c>
      <c r="K58" s="26">
        <f>H58*I58</f>
        <v>0</v>
      </c>
      <c r="L58" s="1">
        <f>J58*H58</f>
        <v>22.5</v>
      </c>
      <c r="M58" s="26">
        <f>K58+L58</f>
        <v>22.5</v>
      </c>
    </row>
    <row r="62" spans="2:13" x14ac:dyDescent="0.35">
      <c r="B62" s="6" t="s">
        <v>46</v>
      </c>
    </row>
    <row r="65" spans="1:8" x14ac:dyDescent="0.35">
      <c r="B65" s="29" t="s">
        <v>0</v>
      </c>
      <c r="C65" s="29" t="s">
        <v>31</v>
      </c>
      <c r="D65" s="29" t="s">
        <v>16</v>
      </c>
      <c r="E65" s="29" t="s">
        <v>18</v>
      </c>
      <c r="F65" s="29" t="s">
        <v>24</v>
      </c>
      <c r="G65" s="32" t="s">
        <v>25</v>
      </c>
      <c r="H65" s="33" t="s">
        <v>26</v>
      </c>
    </row>
    <row r="66" spans="1:8" x14ac:dyDescent="0.35">
      <c r="A66" s="2">
        <v>45379</v>
      </c>
      <c r="B66" s="1" t="s">
        <v>45</v>
      </c>
      <c r="C66" s="1" t="s">
        <v>20</v>
      </c>
      <c r="D66" s="1" t="s">
        <v>3</v>
      </c>
      <c r="E66" s="16">
        <v>4</v>
      </c>
      <c r="F66" s="1" t="s">
        <v>47</v>
      </c>
      <c r="G66" s="22" t="s">
        <v>44</v>
      </c>
      <c r="H66" s="24">
        <v>0</v>
      </c>
    </row>
    <row r="67" spans="1:8" x14ac:dyDescent="0.35">
      <c r="C67" s="41" t="s">
        <v>32</v>
      </c>
      <c r="D67" s="41"/>
      <c r="F67" s="41" t="s">
        <v>33</v>
      </c>
      <c r="G67" s="41"/>
    </row>
    <row r="97" spans="2:13" x14ac:dyDescent="0.35">
      <c r="B97" s="6" t="s">
        <v>40</v>
      </c>
    </row>
    <row r="98" spans="2:13" ht="43.5" x14ac:dyDescent="0.35">
      <c r="B98" s="4" t="s">
        <v>19</v>
      </c>
      <c r="C98" s="4" t="s">
        <v>30</v>
      </c>
      <c r="D98" s="4" t="s">
        <v>1</v>
      </c>
      <c r="E98" s="4" t="s">
        <v>16</v>
      </c>
      <c r="F98" s="4" t="s">
        <v>18</v>
      </c>
      <c r="G98" s="4" t="s">
        <v>29</v>
      </c>
      <c r="H98" s="4" t="s">
        <v>23</v>
      </c>
      <c r="I98" s="15" t="s">
        <v>42</v>
      </c>
      <c r="J98" s="15" t="s">
        <v>43</v>
      </c>
      <c r="K98" s="15" t="s">
        <v>41</v>
      </c>
      <c r="L98" s="15" t="s">
        <v>21</v>
      </c>
      <c r="M98" s="15" t="s">
        <v>22</v>
      </c>
    </row>
    <row r="99" spans="2:13" x14ac:dyDescent="0.35">
      <c r="B99" s="2">
        <v>45379</v>
      </c>
      <c r="C99" s="1" t="s">
        <v>45</v>
      </c>
      <c r="D99" s="35" t="s">
        <v>20</v>
      </c>
      <c r="E99" s="1" t="s">
        <v>4</v>
      </c>
      <c r="F99" s="1">
        <v>4</v>
      </c>
      <c r="G99" s="14" t="s">
        <v>2</v>
      </c>
      <c r="H99" s="34">
        <v>450</v>
      </c>
      <c r="I99" s="36">
        <v>0.3</v>
      </c>
      <c r="J99" s="34">
        <v>0</v>
      </c>
      <c r="K99" s="26">
        <f>H99*I99</f>
        <v>135</v>
      </c>
      <c r="L99" s="1">
        <f>J99*H99</f>
        <v>0</v>
      </c>
      <c r="M99" s="26">
        <f>K99+L99</f>
        <v>135</v>
      </c>
    </row>
    <row r="100" spans="2:13" x14ac:dyDescent="0.35">
      <c r="B100" s="2">
        <v>45379</v>
      </c>
      <c r="C100" s="1" t="s">
        <v>45</v>
      </c>
      <c r="D100" s="35" t="s">
        <v>47</v>
      </c>
      <c r="E100" s="1" t="s">
        <v>48</v>
      </c>
      <c r="F100" s="1">
        <v>0</v>
      </c>
      <c r="G100" s="14" t="s">
        <v>2</v>
      </c>
      <c r="H100" s="34">
        <v>450</v>
      </c>
      <c r="I100" s="25">
        <v>0</v>
      </c>
      <c r="J100" s="37">
        <v>0.04</v>
      </c>
      <c r="K100" s="26">
        <f>H100*I100</f>
        <v>0</v>
      </c>
      <c r="L100" s="26">
        <f>J100*H100</f>
        <v>18</v>
      </c>
      <c r="M100" s="26">
        <f>K100+L100</f>
        <v>18</v>
      </c>
    </row>
  </sheetData>
  <mergeCells count="5">
    <mergeCell ref="C26:D26"/>
    <mergeCell ref="F26:G26"/>
    <mergeCell ref="I26:J26"/>
    <mergeCell ref="C67:D67"/>
    <mergeCell ref="F67:G6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E5873-4AD9-4DF8-A012-992F609D4890}">
  <dimension ref="B3:B134"/>
  <sheetViews>
    <sheetView topLeftCell="A148" zoomScale="80" zoomScaleNormal="80" workbookViewId="0">
      <selection activeCell="P160" sqref="P160"/>
    </sheetView>
  </sheetViews>
  <sheetFormatPr defaultRowHeight="14.5" x14ac:dyDescent="0.35"/>
  <cols>
    <col min="2" max="2" width="17.90625" bestFit="1" customWidth="1"/>
    <col min="12" max="12" width="10.08984375" bestFit="1" customWidth="1"/>
    <col min="18" max="18" width="16.7265625" bestFit="1" customWidth="1"/>
  </cols>
  <sheetData>
    <row r="3" spans="2:2" ht="16" x14ac:dyDescent="0.4">
      <c r="B3" s="5" t="s">
        <v>11</v>
      </c>
    </row>
    <row r="18" spans="2:2" ht="16" x14ac:dyDescent="0.4">
      <c r="B18" s="5" t="s">
        <v>12</v>
      </c>
    </row>
    <row r="35" spans="2:2" ht="16" x14ac:dyDescent="0.4">
      <c r="B35" s="5" t="s">
        <v>14</v>
      </c>
    </row>
    <row r="60" spans="2:2" ht="16" x14ac:dyDescent="0.4">
      <c r="B60" s="5" t="s">
        <v>15</v>
      </c>
    </row>
    <row r="62" spans="2:2" x14ac:dyDescent="0.35">
      <c r="B62" t="s">
        <v>2</v>
      </c>
    </row>
    <row r="92" spans="2:2" ht="16" x14ac:dyDescent="0.4">
      <c r="B92" s="5" t="s">
        <v>13</v>
      </c>
    </row>
    <row r="134" spans="2:2" x14ac:dyDescent="0.35">
      <c r="B134" s="6" t="s">
        <v>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FDDE6-8BB1-4E3C-A67D-468D23904585}">
  <dimension ref="A3:B27"/>
  <sheetViews>
    <sheetView tabSelected="1" topLeftCell="A10" workbookViewId="0">
      <selection activeCell="A23" sqref="A23"/>
    </sheetView>
  </sheetViews>
  <sheetFormatPr defaultRowHeight="14.5" x14ac:dyDescent="0.35"/>
  <cols>
    <col min="1" max="1" width="16" bestFit="1" customWidth="1"/>
  </cols>
  <sheetData>
    <row r="3" spans="1:2" x14ac:dyDescent="0.35">
      <c r="B3" s="39" t="s">
        <v>9</v>
      </c>
    </row>
    <row r="4" spans="1:2" x14ac:dyDescent="0.35">
      <c r="B4" t="s">
        <v>20</v>
      </c>
    </row>
    <row r="6" spans="1:2" x14ac:dyDescent="0.35">
      <c r="A6" t="s">
        <v>24</v>
      </c>
    </row>
    <row r="8" spans="1:2" x14ac:dyDescent="0.35">
      <c r="B8" s="39" t="s">
        <v>9</v>
      </c>
    </row>
    <row r="9" spans="1:2" x14ac:dyDescent="0.35">
      <c r="B9" t="s">
        <v>27</v>
      </c>
    </row>
    <row r="11" spans="1:2" x14ac:dyDescent="0.35">
      <c r="A11" t="s">
        <v>24</v>
      </c>
    </row>
    <row r="14" spans="1:2" x14ac:dyDescent="0.35">
      <c r="B14" s="39" t="s">
        <v>9</v>
      </c>
    </row>
    <row r="15" spans="1:2" x14ac:dyDescent="0.35">
      <c r="B15" t="s">
        <v>36</v>
      </c>
    </row>
    <row r="17" spans="1:2" x14ac:dyDescent="0.35">
      <c r="A17" t="s">
        <v>24</v>
      </c>
    </row>
    <row r="20" spans="1:2" x14ac:dyDescent="0.35">
      <c r="B20" s="39" t="s">
        <v>5</v>
      </c>
    </row>
    <row r="21" spans="1:2" x14ac:dyDescent="0.35">
      <c r="B21" t="s">
        <v>51</v>
      </c>
    </row>
    <row r="23" spans="1:2" x14ac:dyDescent="0.35">
      <c r="A23" t="s">
        <v>24</v>
      </c>
    </row>
    <row r="26" spans="1:2" x14ac:dyDescent="0.35">
      <c r="B26" t="s">
        <v>44</v>
      </c>
    </row>
    <row r="27" spans="1:2" x14ac:dyDescent="0.35">
      <c r="B27" t="s">
        <v>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Sheet1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Periyasamy</dc:creator>
  <cp:lastModifiedBy>Vinoth Periyasamy</cp:lastModifiedBy>
  <dcterms:created xsi:type="dcterms:W3CDTF">2024-02-23T07:49:05Z</dcterms:created>
  <dcterms:modified xsi:type="dcterms:W3CDTF">2024-05-06T04:25:10Z</dcterms:modified>
</cp:coreProperties>
</file>