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vinot\Documents\KFIN\WAG FIFO\WAG &amp; FIFO test results\"/>
    </mc:Choice>
  </mc:AlternateContent>
  <xr:revisionPtr revIDLastSave="0" documentId="13_ncr:1_{4AC9EB66-6220-4693-A27F-B974ABD875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G" sheetId="1" r:id="rId1"/>
    <sheet name="FIF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1" i="3" l="1"/>
  <c r="R251" i="3"/>
  <c r="Q250" i="3"/>
  <c r="P250" i="3"/>
  <c r="Q249" i="3"/>
  <c r="P249" i="3"/>
  <c r="O249" i="3"/>
  <c r="AE233" i="3"/>
  <c r="AD233" i="3"/>
  <c r="AC233" i="3"/>
  <c r="Z233" i="3"/>
  <c r="Y233" i="3"/>
  <c r="P233" i="3"/>
  <c r="O233" i="3"/>
  <c r="M233" i="3"/>
  <c r="L233" i="3"/>
  <c r="I233" i="3"/>
  <c r="W173" i="3"/>
  <c r="AK173" i="3" s="1"/>
  <c r="R173" i="3"/>
  <c r="T173" i="3" s="1"/>
  <c r="Q170" i="3"/>
  <c r="T165" i="3"/>
  <c r="T164" i="3"/>
  <c r="AE158" i="3"/>
  <c r="AD158" i="3"/>
  <c r="AC158" i="3"/>
  <c r="Z158" i="3"/>
  <c r="Y158" i="3"/>
  <c r="P158" i="3"/>
  <c r="O158" i="3"/>
  <c r="AE111" i="3"/>
  <c r="AD111" i="3"/>
  <c r="AC111" i="3"/>
  <c r="Z111" i="3"/>
  <c r="Y111" i="3"/>
  <c r="P111" i="3"/>
  <c r="O111" i="3"/>
  <c r="AC78" i="3"/>
  <c r="AC77" i="3"/>
  <c r="P69" i="3"/>
  <c r="P68" i="3"/>
  <c r="T66" i="3"/>
  <c r="T65" i="3"/>
  <c r="T64" i="3"/>
  <c r="T63" i="3"/>
  <c r="Z52" i="3"/>
  <c r="P52" i="3"/>
  <c r="O52" i="3"/>
  <c r="M52" i="3"/>
  <c r="L52" i="3"/>
  <c r="I52" i="3"/>
  <c r="W3" i="3"/>
  <c r="X3" i="3" s="1"/>
  <c r="R3" i="3"/>
  <c r="T3" i="3" s="1"/>
  <c r="W2" i="3"/>
  <c r="X2" i="3" s="1"/>
  <c r="R2" i="3"/>
  <c r="T2" i="3" s="1"/>
  <c r="W268" i="1"/>
  <c r="AK268" i="1" s="1"/>
  <c r="R268" i="1"/>
  <c r="T268" i="1" s="1"/>
  <c r="AC262" i="1"/>
  <c r="R257" i="1"/>
  <c r="P257" i="1"/>
  <c r="AD240" i="1"/>
  <c r="AC240" i="1"/>
  <c r="AB240" i="1"/>
  <c r="Y240" i="1"/>
  <c r="X240" i="1"/>
  <c r="O240" i="1"/>
  <c r="N240" i="1"/>
  <c r="L240" i="1"/>
  <c r="K240" i="1"/>
  <c r="W195" i="1"/>
  <c r="AK195" i="1" s="1"/>
  <c r="R195" i="1"/>
  <c r="T195" i="1" s="1"/>
  <c r="P189" i="1"/>
  <c r="R187" i="1"/>
  <c r="AD174" i="1"/>
  <c r="AC174" i="1"/>
  <c r="AB174" i="1"/>
  <c r="Y174" i="1"/>
  <c r="X174" i="1"/>
  <c r="O174" i="1"/>
  <c r="N174" i="1"/>
  <c r="L174" i="1"/>
  <c r="K174" i="1"/>
  <c r="AD99" i="1"/>
  <c r="AC99" i="1"/>
  <c r="Y99" i="1"/>
  <c r="X99" i="1"/>
  <c r="O99" i="1"/>
  <c r="N99" i="1"/>
  <c r="L99" i="1"/>
  <c r="K99" i="1"/>
  <c r="AC74" i="1"/>
  <c r="AC73" i="1"/>
  <c r="P65" i="1"/>
  <c r="P64" i="1"/>
  <c r="T62" i="1"/>
  <c r="T61" i="1"/>
  <c r="T60" i="1"/>
  <c r="T59" i="1"/>
  <c r="T58" i="1"/>
  <c r="T57" i="1"/>
  <c r="T56" i="1"/>
  <c r="T55" i="1"/>
  <c r="Y50" i="1"/>
  <c r="O50" i="1"/>
  <c r="N50" i="1"/>
  <c r="L50" i="1"/>
  <c r="K50" i="1"/>
  <c r="W3" i="1"/>
  <c r="X3" i="1" s="1"/>
  <c r="R3" i="1"/>
  <c r="T3" i="1" s="1"/>
  <c r="W2" i="1"/>
  <c r="AK2" i="1" s="1"/>
  <c r="R2" i="1"/>
  <c r="T2" i="1" s="1"/>
  <c r="P251" i="3" l="1"/>
  <c r="Y52" i="3"/>
  <c r="Q251" i="3"/>
  <c r="AK3" i="3"/>
  <c r="X173" i="3"/>
  <c r="AK2" i="3"/>
  <c r="X50" i="1"/>
  <c r="AK3" i="1"/>
  <c r="X195" i="1"/>
  <c r="X268" i="1"/>
  <c r="X2" i="1"/>
</calcChain>
</file>

<file path=xl/sharedStrings.xml><?xml version="1.0" encoding="utf-8"?>
<sst xmlns="http://schemas.openxmlformats.org/spreadsheetml/2006/main" count="3161" uniqueCount="423">
  <si>
    <t>portfolio</t>
  </si>
  <si>
    <t>invest_category</t>
  </si>
  <si>
    <t>custodian</t>
  </si>
  <si>
    <t>asset_class</t>
  </si>
  <si>
    <t>security</t>
  </si>
  <si>
    <t>security_base</t>
  </si>
  <si>
    <t>currency</t>
  </si>
  <si>
    <t>portfolio_ccy</t>
  </si>
  <si>
    <t>Derivative_type</t>
  </si>
  <si>
    <t>option_type</t>
  </si>
  <si>
    <t>call_put</t>
  </si>
  <si>
    <t>dealslip_no</t>
  </si>
  <si>
    <t>dealer</t>
  </si>
  <si>
    <t>Fund_manager</t>
  </si>
  <si>
    <t>quantity</t>
  </si>
  <si>
    <t>strike_price</t>
  </si>
  <si>
    <t>premium</t>
  </si>
  <si>
    <t>gross_amt_tcy</t>
  </si>
  <si>
    <t>Exch_rate</t>
  </si>
  <si>
    <t>gross_amt_pcy</t>
  </si>
  <si>
    <t>trade_fee_tcy</t>
  </si>
  <si>
    <t>trade_fee_pcy</t>
  </si>
  <si>
    <t>net_amount_tcy</t>
  </si>
  <si>
    <t>net_amount_pcy</t>
  </si>
  <si>
    <t>broker</t>
  </si>
  <si>
    <t>exchange</t>
  </si>
  <si>
    <t>Segment</t>
  </si>
  <si>
    <t>Delivery_type</t>
  </si>
  <si>
    <t>trans_code</t>
  </si>
  <si>
    <t>trade_date</t>
  </si>
  <si>
    <t>trans_date</t>
  </si>
  <si>
    <t>setl_date</t>
  </si>
  <si>
    <t>maturity_date</t>
  </si>
  <si>
    <t>bank_txn_mode</t>
  </si>
  <si>
    <t>bank_acc_code</t>
  </si>
  <si>
    <t>bank_exch_pcy_rate</t>
  </si>
  <si>
    <t>bank_acc_amt_acy</t>
  </si>
  <si>
    <t>bank_txn_ref</t>
  </si>
  <si>
    <t>bank_txn_date</t>
  </si>
  <si>
    <t>bank_txn_chrg_acy</t>
  </si>
  <si>
    <t>bank_txn_chrg_pcy</t>
  </si>
  <si>
    <t>rec_origin_ref</t>
  </si>
  <si>
    <t>rec_remarks</t>
  </si>
  <si>
    <t>fee1_type</t>
  </si>
  <si>
    <t>fee1_currency</t>
  </si>
  <si>
    <t>fee1_amt_tcy</t>
  </si>
  <si>
    <t>fee1_amt_fcy</t>
  </si>
  <si>
    <t>fee1_exch_rate</t>
  </si>
  <si>
    <t>fee1_amt_pcy</t>
  </si>
  <si>
    <t>fee2_type</t>
  </si>
  <si>
    <t>fee2_currency</t>
  </si>
  <si>
    <t>fee2_amt_tcy</t>
  </si>
  <si>
    <t>fee2_amt_fcy</t>
  </si>
  <si>
    <t>fee2_exch_rate</t>
  </si>
  <si>
    <t>fee2_amt_pcy</t>
  </si>
  <si>
    <t>fee3_type</t>
  </si>
  <si>
    <t>fee3_currency</t>
  </si>
  <si>
    <t>fee3_amt_tcy</t>
  </si>
  <si>
    <t>fee3_amt_fcy</t>
  </si>
  <si>
    <t>fee3_exch_rate</t>
  </si>
  <si>
    <t>fee3_amt_pcy</t>
  </si>
  <si>
    <t>fee4_type</t>
  </si>
  <si>
    <t>fee4_currency</t>
  </si>
  <si>
    <t>fee4_amt_tcy</t>
  </si>
  <si>
    <t>fee4_amt_fcy</t>
  </si>
  <si>
    <t>fee4_exch_rate</t>
  </si>
  <si>
    <t>fee4_amt_pcy</t>
  </si>
  <si>
    <t>fee5_type</t>
  </si>
  <si>
    <t>fee5_currency</t>
  </si>
  <si>
    <t>fee5_amt_tcy</t>
  </si>
  <si>
    <t>fee5_amt_fcy</t>
  </si>
  <si>
    <t>fee5_exch_rate</t>
  </si>
  <si>
    <t>fee5_amt_pcy</t>
  </si>
  <si>
    <t>GFIF</t>
  </si>
  <si>
    <t>INVEST</t>
  </si>
  <si>
    <t>DIRECT</t>
  </si>
  <si>
    <t>CRWDDIRJUN2025FUT</t>
  </si>
  <si>
    <t>CRWD</t>
  </si>
  <si>
    <t>INR</t>
  </si>
  <si>
    <t>USD</t>
  </si>
  <si>
    <t>FUT</t>
  </si>
  <si>
    <t>ZERODHA</t>
  </si>
  <si>
    <t>NSE</t>
  </si>
  <si>
    <t>CM</t>
  </si>
  <si>
    <t>CH</t>
  </si>
  <si>
    <t>IFUPUR</t>
  </si>
  <si>
    <t>TRF</t>
  </si>
  <si>
    <t>AAEADERINR</t>
  </si>
  <si>
    <t>BRK</t>
  </si>
  <si>
    <t>STT</t>
  </si>
  <si>
    <t>Holding Statement</t>
  </si>
  <si>
    <t>Symbol</t>
  </si>
  <si>
    <t>Security</t>
  </si>
  <si>
    <t xml:space="preserve">Security Name </t>
  </si>
  <si>
    <t xml:space="preserve">Security Listed </t>
  </si>
  <si>
    <t>TCY</t>
  </si>
  <si>
    <t>ISIN Code</t>
  </si>
  <si>
    <t>Maturity Date</t>
  </si>
  <si>
    <t>Quantity</t>
  </si>
  <si>
    <t>Average Price</t>
  </si>
  <si>
    <t>Strike Price</t>
  </si>
  <si>
    <t>Book Cost in TCY</t>
  </si>
  <si>
    <t>Book Cost in PCY</t>
  </si>
  <si>
    <t>Market Price</t>
  </si>
  <si>
    <t>Market Value in TCY</t>
  </si>
  <si>
    <t>Market Value in PCY</t>
  </si>
  <si>
    <t>% of NAV</t>
  </si>
  <si>
    <t>Interest Accruals in TCY</t>
  </si>
  <si>
    <t>Interest Accruals in PCY</t>
  </si>
  <si>
    <t>Accrued AOD TCY</t>
  </si>
  <si>
    <t>Accrued AOD PCY</t>
  </si>
  <si>
    <t>Amortised Cost PCY</t>
  </si>
  <si>
    <t>Amortised Cost Per Unit</t>
  </si>
  <si>
    <t>Exchange</t>
  </si>
  <si>
    <t>App/Dep in TCY</t>
  </si>
  <si>
    <t>App/Dep in PCY</t>
  </si>
  <si>
    <t>Unrel GL TCY</t>
  </si>
  <si>
    <t>Unrel GL PCY</t>
  </si>
  <si>
    <t>Unrel GL FX PCY</t>
  </si>
  <si>
    <t>Variable Margin TCY</t>
  </si>
  <si>
    <t>Variable Margin PCY</t>
  </si>
  <si>
    <t>Market Price Date</t>
  </si>
  <si>
    <t xml:space="preserve">CRWDDIRJUN2025FUT-JU N Series </t>
  </si>
  <si>
    <t>Accounting Enquiry</t>
  </si>
  <si>
    <t>Portfolio</t>
  </si>
  <si>
    <t>Portfolio Class</t>
  </si>
  <si>
    <t>Entry Date</t>
  </si>
  <si>
    <t>Trans Date</t>
  </si>
  <si>
    <t>Ledger ID</t>
  </si>
  <si>
    <t>Trans ID</t>
  </si>
  <si>
    <t>Module Ref</t>
  </si>
  <si>
    <t>Account Type</t>
  </si>
  <si>
    <t>Control AC</t>
  </si>
  <si>
    <t>Control AC Name</t>
  </si>
  <si>
    <t>Gl Entry Code</t>
  </si>
  <si>
    <t>Gl Account</t>
  </si>
  <si>
    <t>Gl Account Name</t>
  </si>
  <si>
    <t>Currency</t>
  </si>
  <si>
    <t>Credit/Debit</t>
  </si>
  <si>
    <t>Amount Tcy</t>
  </si>
  <si>
    <t>Amount Pcy</t>
  </si>
  <si>
    <t>Exch Rate</t>
  </si>
  <si>
    <t>Asset Class</t>
  </si>
  <si>
    <t>Asset Group</t>
  </si>
  <si>
    <t>Security Type</t>
  </si>
  <si>
    <t>Trans Code</t>
  </si>
  <si>
    <t>Broker</t>
  </si>
  <si>
    <t>Counterparty</t>
  </si>
  <si>
    <t>Narration</t>
  </si>
  <si>
    <t>Is Reversed</t>
  </si>
  <si>
    <t>Is Sysgen</t>
  </si>
  <si>
    <t>Portfolio Currency</t>
  </si>
  <si>
    <t>Trans Ref</t>
  </si>
  <si>
    <t/>
  </si>
  <si>
    <t>30-Nov-2024</t>
  </si>
  <si>
    <t>DT244101623000000404</t>
  </si>
  <si>
    <t>DT2441016230000004</t>
  </si>
  <si>
    <t>DERTRAN_CONFIRM</t>
  </si>
  <si>
    <t>LIA</t>
  </si>
  <si>
    <t>212024</t>
  </si>
  <si>
    <t>STT Payable</t>
  </si>
  <si>
    <t>STTAMOUNTPAY</t>
  </si>
  <si>
    <t>212024-INR</t>
  </si>
  <si>
    <t>Cr</t>
  </si>
  <si>
    <t>30</t>
  </si>
  <si>
    <t xml:space="preserve">STT Charges Payable on Purchase of 3400 quantity of CRWDDIRJUN2025FUT CRWDDIRJUN2025FUT-JUN Series </t>
  </si>
  <si>
    <t>N</t>
  </si>
  <si>
    <t>DT2441016230000002</t>
  </si>
  <si>
    <t>DT244101623000000403</t>
  </si>
  <si>
    <t>EXP</t>
  </si>
  <si>
    <t>810324</t>
  </si>
  <si>
    <t>STT Fee</t>
  </si>
  <si>
    <t>STTAMOUNTEXP</t>
  </si>
  <si>
    <t>810324-INR</t>
  </si>
  <si>
    <t>Dr</t>
  </si>
  <si>
    <t xml:space="preserve">STT Charges Expense on Purchase of 3400 quantity of CRWDDIRJUN2025FUT CRWDDIRJUN2025FUT-JUN Series </t>
  </si>
  <si>
    <t>DT244101623000000402</t>
  </si>
  <si>
    <t>223000</t>
  </si>
  <si>
    <t>LIABILITIES - FUTURES AND OPTIONS</t>
  </si>
  <si>
    <t>LIABFUTURE</t>
  </si>
  <si>
    <t>223000-30-INR</t>
  </si>
  <si>
    <t xml:space="preserve">Purchase of - Buy 3400 quantity of CRWDDIRJUN2025FUT CRWDDIRJUN2025FUT-JUN Series </t>
  </si>
  <si>
    <t>DT244101623000000401</t>
  </si>
  <si>
    <t>AST</t>
  </si>
  <si>
    <t>113300</t>
  </si>
  <si>
    <t>ASSETS -  FUTURES AND OPTIONS</t>
  </si>
  <si>
    <t>ASSETFUTURE</t>
  </si>
  <si>
    <t>113300-30-INR</t>
  </si>
  <si>
    <t>DT244101623000000304</t>
  </si>
  <si>
    <t>DT2441016230000003</t>
  </si>
  <si>
    <t xml:space="preserve">STT Charges Payable on Purchase of 6600 quantity of CRWDDIRJUN2025FUT CRWDDIRJUN2025FUT-JUN Series </t>
  </si>
  <si>
    <t>DT2441016230000001</t>
  </si>
  <si>
    <t>DT244101623000000303</t>
  </si>
  <si>
    <t xml:space="preserve">STT Charges Expense on Purchase of 6600 quantity of CRWDDIRJUN2025FUT CRWDDIRJUN2025FUT-JUN Series </t>
  </si>
  <si>
    <t>DT244101623000000302</t>
  </si>
  <si>
    <t xml:space="preserve">Purchase of - Buy 6600 quantity of CRWDDIRJUN2025FUT CRWDDIRJUN2025FUT-JUN Series </t>
  </si>
  <si>
    <t>DT244101623000000301</t>
  </si>
  <si>
    <t xml:space="preserve">Purchase Sale </t>
  </si>
  <si>
    <t>Portfolio Name</t>
  </si>
  <si>
    <t>Sector Name</t>
  </si>
  <si>
    <t>Industry Name</t>
  </si>
  <si>
    <t>Settlement Date</t>
  </si>
  <si>
    <t>Transaction ID</t>
  </si>
  <si>
    <t>Transaction Type</t>
  </si>
  <si>
    <t>Security Name</t>
  </si>
  <si>
    <t>Asset Name</t>
  </si>
  <si>
    <t>Broker Name</t>
  </si>
  <si>
    <t>CounterParty</t>
  </si>
  <si>
    <t>CounterParty Name</t>
  </si>
  <si>
    <t>Custodian Name</t>
  </si>
  <si>
    <t>Rate</t>
  </si>
  <si>
    <t>Gross Value</t>
  </si>
  <si>
    <t>Yield</t>
  </si>
  <si>
    <t>Brokerage</t>
  </si>
  <si>
    <t>Brokerage %</t>
  </si>
  <si>
    <t>Stt Amount</t>
  </si>
  <si>
    <t>Clearing Fees</t>
  </si>
  <si>
    <t>Others Fees</t>
  </si>
  <si>
    <t>Net Amount TCY</t>
  </si>
  <si>
    <t>Net Amount PCY</t>
  </si>
  <si>
    <t>Acquisition Cost TCY</t>
  </si>
  <si>
    <t>Acquisition Cost PCY</t>
  </si>
  <si>
    <t>Gain Loss TCY</t>
  </si>
  <si>
    <t>Gain Loss PCY</t>
  </si>
  <si>
    <t>Gross Interest TCY</t>
  </si>
  <si>
    <t>Gross Interest PCY</t>
  </si>
  <si>
    <t>ALPHA ALTERNATIVES GLOBAL FUND I</t>
  </si>
  <si>
    <t>IN080102</t>
  </si>
  <si>
    <t>IT Enabled Services</t>
  </si>
  <si>
    <t xml:space="preserve">CRWDDIRJUN2025FUT-JUN Series </t>
  </si>
  <si>
    <t>FUTURES DERIVATIVES</t>
  </si>
  <si>
    <t>Zerodha Broking Limited</t>
  </si>
  <si>
    <t>0.0000%</t>
  </si>
  <si>
    <t xml:space="preserve">Upload Manual Market Price </t>
  </si>
  <si>
    <t>VM244101623000000102</t>
  </si>
  <si>
    <t>VM2441016230000001</t>
  </si>
  <si>
    <t>VARIABLE_MARGIN</t>
  </si>
  <si>
    <t>INC</t>
  </si>
  <si>
    <t>610520</t>
  </si>
  <si>
    <t>Variable margin Income</t>
  </si>
  <si>
    <t>VARMARGININC</t>
  </si>
  <si>
    <t>610520-30-INR</t>
  </si>
  <si>
    <t>IFDMGN</t>
  </si>
  <si>
    <t xml:space="preserve">Variable Margin on Security CRWDDIRJUN2025FUT on the Price change CRWDDIRJUN2025FUT-JUN Series </t>
  </si>
  <si>
    <t>Y</t>
  </si>
  <si>
    <t>VM244101623000000101</t>
  </si>
  <si>
    <t>111520</t>
  </si>
  <si>
    <t>Futures Variable Margin Receivable</t>
  </si>
  <si>
    <t>FUTUREMARGINREC</t>
  </si>
  <si>
    <t>111520-INR</t>
  </si>
  <si>
    <t>Freeze NAV done</t>
  </si>
  <si>
    <t xml:space="preserve">Trade/Benefit Settlement </t>
  </si>
  <si>
    <t>Upload Manual Market Price</t>
  </si>
  <si>
    <t>SECURITYCODE</t>
  </si>
  <si>
    <t>ISIN_CODE</t>
  </si>
  <si>
    <t>SECURITYNAME</t>
  </si>
  <si>
    <t>VALUATIONDATE</t>
  </si>
  <si>
    <t>EXCHANGE</t>
  </si>
  <si>
    <t>FINALPRICE</t>
  </si>
  <si>
    <t>STRIKEPRICE</t>
  </si>
  <si>
    <t>01-Dec-2024</t>
  </si>
  <si>
    <t>VM244101623000000204</t>
  </si>
  <si>
    <t>VM2441016230000002</t>
  </si>
  <si>
    <t>510984</t>
  </si>
  <si>
    <t>Unrealised Gain/Loss on FX</t>
  </si>
  <si>
    <t>UNRLNAVFOREX</t>
  </si>
  <si>
    <t>510984-30-INR</t>
  </si>
  <si>
    <t xml:space="preserve">Variable Margin on Security CRWDDIRJUN2025FUT on the FX change CRWDDIRJUN2025FUT-JUN Series </t>
  </si>
  <si>
    <t>VM244101623000000203</t>
  </si>
  <si>
    <t>010114</t>
  </si>
  <si>
    <t>Investment - Unrealised Gain/Loss - Forex</t>
  </si>
  <si>
    <t>INVNAVFOREX</t>
  </si>
  <si>
    <t>010114-30-INR</t>
  </si>
  <si>
    <t>VM244101623000000202</t>
  </si>
  <si>
    <t>VM244101623000000201</t>
  </si>
  <si>
    <t>PR244101623000000303</t>
  </si>
  <si>
    <t>PR2441016230000003</t>
  </si>
  <si>
    <t>PAYREC_SETTLE</t>
  </si>
  <si>
    <t>510988</t>
  </si>
  <si>
    <t>fx gain/loss on pay/rec</t>
  </si>
  <si>
    <t>UNREALGLOFOREX</t>
  </si>
  <si>
    <t>510988-INR</t>
  </si>
  <si>
    <t>STTSET</t>
  </si>
  <si>
    <t xml:space="preserve">Forex Revaluation Reversal - Trade / Benefit Settlement CRWDDIRJUN2025FUT-JUN Series </t>
  </si>
  <si>
    <t>PR244101623000000302</t>
  </si>
  <si>
    <t>110100</t>
  </si>
  <si>
    <t>Current Bank Account</t>
  </si>
  <si>
    <t>CURRENTBACCOUNT</t>
  </si>
  <si>
    <t>110100-AAEADERINR-INR</t>
  </si>
  <si>
    <t xml:space="preserve">STT Settlement of 3400 quantity of CRWDDIRJUN2025FUT CRWDDIRJUN2025FUT-JUN Series </t>
  </si>
  <si>
    <t>PR244101623000000301</t>
  </si>
  <si>
    <t>1st VM</t>
  </si>
  <si>
    <t>2nd VM</t>
  </si>
  <si>
    <t>FUT- SELL</t>
  </si>
  <si>
    <t>IFUSAL</t>
  </si>
  <si>
    <t>DT244101623000000611</t>
  </si>
  <si>
    <t>DT2441016230000006</t>
  </si>
  <si>
    <t xml:space="preserve">Unrel Forex reversal on Sale of 5000 quantity of CRWDDIRJUN2025FUT CRWDDIRJUN2025FUT-JUN Series </t>
  </si>
  <si>
    <t>DT2441016230000005</t>
  </si>
  <si>
    <t>DT244101623000000610</t>
  </si>
  <si>
    <t>DT244101623000000609</t>
  </si>
  <si>
    <t>611001</t>
  </si>
  <si>
    <t>Gain/(Loss) On Foreign Exchange</t>
  </si>
  <si>
    <t>REALGLFOREX</t>
  </si>
  <si>
    <t>611001-INR-INR</t>
  </si>
  <si>
    <t xml:space="preserve">Gain/Loss Forex on Sale of 5000 quantity of CRWDDIRJUN2025FUT CRWDDIRJUN2025FUT-JUN Series </t>
  </si>
  <si>
    <t>DT244101623000000608</t>
  </si>
  <si>
    <t>122990</t>
  </si>
  <si>
    <t>Realised Gain/loss on future</t>
  </si>
  <si>
    <t>REALISEDGLFUT</t>
  </si>
  <si>
    <t>122990-30-INR</t>
  </si>
  <si>
    <t xml:space="preserve">Gain/GLoss on Purchase of 5000 quantity of CRWDDIRJUN2025FUT CRWDDIRJUN2025FUT-JUN Series </t>
  </si>
  <si>
    <t>DT244101623000000607</t>
  </si>
  <si>
    <t>611100</t>
  </si>
  <si>
    <t>Realised Gains/Losses On Futures</t>
  </si>
  <si>
    <t>REALGLFUTURES</t>
  </si>
  <si>
    <t>611100-30-ZERODHA-INR</t>
  </si>
  <si>
    <t>DT244101623000000606</t>
  </si>
  <si>
    <t>DT244101623000000605</t>
  </si>
  <si>
    <t xml:space="preserve">Variable Margin Income Reversal Purchase of 5000 quantity of CRWDDIRJUN2025FUT CRWDDIRJUN2025FUT-JUN Series </t>
  </si>
  <si>
    <t>DT244101623000000604</t>
  </si>
  <si>
    <t xml:space="preserve">STT Charges Payable on Sale of 5000 quantity of CRWDDIRJUN2025FUT CRWDDIRJUN2025FUT-JUN Series </t>
  </si>
  <si>
    <t>DT244101623000000603</t>
  </si>
  <si>
    <t xml:space="preserve">STT Charges Expense on Sale of 5000 quantity of CRWDDIRJUN2025FUT CRWDDIRJUN2025FUT-JUN Series </t>
  </si>
  <si>
    <t>DT244101623000000602</t>
  </si>
  <si>
    <t xml:space="preserve">Cost of Sale on 5000 quantity of CRWDDIRJUN2025FUT CRWDDIRJUN2025FUT-JUN Series </t>
  </si>
  <si>
    <t>DT244101623000000601</t>
  </si>
  <si>
    <t>DT244101623000000811</t>
  </si>
  <si>
    <t>DT2441016230000008</t>
  </si>
  <si>
    <t>DT2441016230000007</t>
  </si>
  <si>
    <t>DT244101623000000810</t>
  </si>
  <si>
    <t>DT244101623000000809</t>
  </si>
  <si>
    <t>DT244101623000000808</t>
  </si>
  <si>
    <t>DT244101623000000807</t>
  </si>
  <si>
    <t>DT244101623000000806</t>
  </si>
  <si>
    <t>DT244101623000000805</t>
  </si>
  <si>
    <t>DT244101623000000804</t>
  </si>
  <si>
    <t>DT244101623000000803</t>
  </si>
  <si>
    <t>DT244101623000000802</t>
  </si>
  <si>
    <t>DT244101623000000801</t>
  </si>
  <si>
    <t>Asset Class:30 - FUTURES DERIVATIVES</t>
  </si>
  <si>
    <t>AGTFR</t>
  </si>
  <si>
    <t>AUTOCEQNSEJAN2025FUT</t>
  </si>
  <si>
    <t>AUTOCEQ</t>
  </si>
  <si>
    <t>INTRANSITINR</t>
  </si>
  <si>
    <t xml:space="preserve">AUTOCEQNSEJAN2025FUT-JAN Series </t>
  </si>
  <si>
    <t>Holding Statement By lot</t>
  </si>
  <si>
    <t>Security Code</t>
  </si>
  <si>
    <t>Security Short Name</t>
  </si>
  <si>
    <t>Security Description</t>
  </si>
  <si>
    <t>Security Currency</t>
  </si>
  <si>
    <t>Investment Category</t>
  </si>
  <si>
    <t>Holding Lot No</t>
  </si>
  <si>
    <t>TaxLot Reference</t>
  </si>
  <si>
    <t>Purchase Date</t>
  </si>
  <si>
    <t xml:space="preserve">
Settlement Date</t>
  </si>
  <si>
    <t>No of Days</t>
  </si>
  <si>
    <t>Deemed Maturity Date</t>
  </si>
  <si>
    <t>Quantity / Nominal</t>
  </si>
  <si>
    <t>Book Cost in Security
Currency</t>
  </si>
  <si>
    <t>Book Cost in Fund
Currency</t>
  </si>
  <si>
    <t>Book Cost at current FX</t>
  </si>
  <si>
    <t>Market Value in Security
Currency</t>
  </si>
  <si>
    <t>Market Value in Fund
Currency</t>
  </si>
  <si>
    <t>Accrued 
Interest in Security Currency</t>
  </si>
  <si>
    <t>Accrued 
Interest in Fund Currency</t>
  </si>
  <si>
    <t>Accrued AOD in Security Currency</t>
  </si>
  <si>
    <t>Accrued AOD in Fund Currency</t>
  </si>
  <si>
    <t>Amortised Cost in Security Currency</t>
  </si>
  <si>
    <t>App/Dep in
Security Currency</t>
  </si>
  <si>
    <t>App/Dep in
Fund
Currency</t>
  </si>
  <si>
    <t>FX Gain</t>
  </si>
  <si>
    <t>App/Dep in Fund CCY without FX</t>
  </si>
  <si>
    <t>Forex Rate</t>
  </si>
  <si>
    <t>AUTOCEQNSEJAN2 025FUT</t>
  </si>
  <si>
    <t>DT2442116260000003</t>
  </si>
  <si>
    <t>0</t>
  </si>
  <si>
    <t>DT2442116260000004</t>
  </si>
  <si>
    <t>05-Dec-2024</t>
  </si>
  <si>
    <t>DT244211626000000402</t>
  </si>
  <si>
    <t xml:space="preserve">Purchase of - Buy 1233 quantity of AUTOCEQNSEJAN2025FUT AUTOCEQNSEJAN2025FUT-JAN Series </t>
  </si>
  <si>
    <t>DT2442116260000002</t>
  </si>
  <si>
    <t>DT244211626000000401</t>
  </si>
  <si>
    <t>DT244211626000000302</t>
  </si>
  <si>
    <t xml:space="preserve">Purchase of - Buy 2324 quantity of AUTOCEQNSEJAN2025FUT AUTOCEQNSEJAN2025FUT-JAN Series </t>
  </si>
  <si>
    <t>DT2442116260000001</t>
  </si>
  <si>
    <t>DT244211626000000301</t>
  </si>
  <si>
    <t>AIRAVAT GLOBAL TECHNOLOGY FUND R</t>
  </si>
  <si>
    <t>IN070204</t>
  </si>
  <si>
    <t>Industrial Products</t>
  </si>
  <si>
    <t>VM244211626000000102</t>
  </si>
  <si>
    <t>VM2442116260000001</t>
  </si>
  <si>
    <t xml:space="preserve">Variable Margin on Security AUTOCEQNSEJAN2025FUT on the Price change AUTOCEQNSEJAN2025FUT-JAN Series </t>
  </si>
  <si>
    <t>VM244211626000000101</t>
  </si>
  <si>
    <t>Freeze NAV</t>
  </si>
  <si>
    <t>Change the FX rate</t>
  </si>
  <si>
    <t>06-Dec-2024</t>
  </si>
  <si>
    <t>VM244211626000000304</t>
  </si>
  <si>
    <t>VM2442116260000003</t>
  </si>
  <si>
    <t xml:space="preserve">Variable Margin on Security AUTOCEQNSEJAN2025FUT on the FX change AUTOCEQNSEJAN2025FUT-JAN Series </t>
  </si>
  <si>
    <t>VM244211626000000303</t>
  </si>
  <si>
    <t>VM244211626000000302</t>
  </si>
  <si>
    <t>VM244211626000000301</t>
  </si>
  <si>
    <t>when mmp 100</t>
  </si>
  <si>
    <t>when mmp 200</t>
  </si>
  <si>
    <t>1</t>
  </si>
  <si>
    <t>DT244211626000000809</t>
  </si>
  <si>
    <t>DT2442116260000008</t>
  </si>
  <si>
    <t xml:space="preserve">Unrel Forex reversal on Sale of 2500 quantity of AUTOCEQNSEJAN2025FUT AUTOCEQNSEJAN2025FUT-JAN Series </t>
  </si>
  <si>
    <t>DT2442116260000007</t>
  </si>
  <si>
    <t>DT244211626000000808</t>
  </si>
  <si>
    <t>DT244211626000000807</t>
  </si>
  <si>
    <t>Realized FX Gain / Loss on sale of investments</t>
  </si>
  <si>
    <t xml:space="preserve">Gain/Loss Forex on Sale of 2500 quantity of AUTOCEQNSEJAN2025FUT AUTOCEQNSEJAN2025FUT-JAN Series </t>
  </si>
  <si>
    <t>DT244211626000000806</t>
  </si>
  <si>
    <t xml:space="preserve">Gain/GLoss on Purchase of 2500 quantity of AUTOCEQNSEJAN2025FUT AUTOCEQNSEJAN2025FUT-JAN Series </t>
  </si>
  <si>
    <t>DT244211626000000805</t>
  </si>
  <si>
    <t>DT244211626000000804</t>
  </si>
  <si>
    <t>DT244211626000000803</t>
  </si>
  <si>
    <t xml:space="preserve">Variable Margin Income Reversal Purchase of 2500 quantity of AUTOCEQNSEJAN2025FUT AUTOCEQNSEJAN2025FUT-JAN Series </t>
  </si>
  <si>
    <t>DT244211626000000802</t>
  </si>
  <si>
    <t xml:space="preserve">Cost of Sale on 2500 quantity of AUTOCEQNSEJAN2025FUT AUTOCEQNSEJAN2025FUT-JAN Series </t>
  </si>
  <si>
    <t>DT244211626000000801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</si>
</sst>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dd/mmm/yyyy"/>
    <numFmt numFmtId="165" formatCode="##0.0000"/>
    <numFmt numFmtId="166" formatCode="#,##0.0000;\(#,##0.0000\)"/>
    <numFmt numFmtId="167" formatCode="###,##0.0000;\(###,##0.0000\)"/>
    <numFmt numFmtId="168" formatCode="#,##0.000000"/>
    <numFmt numFmtId="169" formatCode="#,##0.00;\(#,##0.00\)"/>
    <numFmt numFmtId="170" formatCode="#,#00.00"/>
    <numFmt numFmtId="171" formatCode="#,##0.0000"/>
    <numFmt numFmtId="172" formatCode="dd/mm/yyyy;@"/>
  </numFmts>
  <fonts count="28">
    <font>
      <sz val="11"/>
      <color theme="1"/>
      <name val="Calibri"/>
      <charset val="134"/>
      <scheme val="minor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9"/>
      <color rgb="FF666666"/>
      <name val="Arial"/>
      <family val="2"/>
    </font>
    <font>
      <sz val="9"/>
      <color theme="1"/>
      <name val="Arial"/>
      <family val="2"/>
    </font>
    <font>
      <b/>
      <sz val="10"/>
      <color indexed="8"/>
      <name val="Roboto Condensed"/>
    </font>
    <font>
      <b/>
      <sz val="10"/>
      <color indexed="8"/>
      <name val="Roboto"/>
    </font>
    <font>
      <sz val="8"/>
      <color indexed="8"/>
      <name val="Roboto"/>
    </font>
    <font>
      <sz val="8"/>
      <color indexed="8"/>
      <name val="Roboto"/>
    </font>
    <font>
      <sz val="11"/>
      <color rgb="FF000000"/>
      <name val="Calibri"/>
      <family val="2"/>
    </font>
    <font>
      <b/>
      <sz val="8"/>
      <color indexed="8"/>
      <name val="Roboto Condensed"/>
    </font>
    <font>
      <b/>
      <sz val="11"/>
      <name val="Calibri"/>
      <family val="2"/>
    </font>
    <font>
      <b/>
      <sz val="10"/>
      <color indexed="8"/>
      <name val="Arial"/>
      <family val="2"/>
    </font>
    <font>
      <sz val="11"/>
      <name val="Calibri"/>
      <family val="2"/>
    </font>
    <font>
      <sz val="8"/>
      <name val="Book Antiqua"/>
      <family val="1"/>
    </font>
    <font>
      <sz val="11"/>
      <color theme="1"/>
      <name val="Calibri"/>
      <family val="2"/>
    </font>
    <font>
      <b/>
      <sz val="6"/>
      <color indexed="8"/>
      <name val="Roboto Condensed"/>
    </font>
    <font>
      <sz val="5"/>
      <color indexed="8"/>
      <name val="Roboto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 style="hair">
        <color rgb="FFEBEBF6"/>
      </right>
      <top/>
      <bottom/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/>
    <xf numFmtId="0" fontId="6" fillId="2" borderId="0" xfId="0" applyFont="1" applyFill="1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0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3" fillId="4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0" fontId="11" fillId="5" borderId="0" xfId="0" applyFont="1" applyFill="1" applyAlignment="1">
      <alignment horizontal="left" vertical="center"/>
    </xf>
    <xf numFmtId="0" fontId="12" fillId="0" borderId="0" xfId="0" applyFont="1" applyAlignment="1">
      <alignment horizontal="left"/>
    </xf>
    <xf numFmtId="165" fontId="1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 vertical="center" wrapText="1"/>
    </xf>
    <xf numFmtId="167" fontId="2" fillId="0" borderId="0" xfId="0" applyNumberFormat="1" applyFont="1" applyAlignment="1">
      <alignment horizontal="left" vertical="center" wrapText="1"/>
    </xf>
    <xf numFmtId="168" fontId="2" fillId="0" borderId="0" xfId="0" applyNumberFormat="1" applyFont="1" applyAlignment="1">
      <alignment horizontal="left" vertical="center" wrapText="1"/>
    </xf>
    <xf numFmtId="169" fontId="2" fillId="0" borderId="0" xfId="0" applyNumberFormat="1" applyFont="1" applyAlignment="1">
      <alignment horizontal="left" vertical="center" wrapText="1"/>
    </xf>
    <xf numFmtId="168" fontId="9" fillId="0" borderId="0" xfId="0" applyNumberFormat="1" applyFont="1" applyAlignment="1">
      <alignment horizontal="left" vertical="center"/>
    </xf>
    <xf numFmtId="169" fontId="9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0" fontId="3" fillId="5" borderId="0" xfId="0" applyFont="1" applyFill="1" applyAlignment="1">
      <alignment horizontal="left" vertical="top" wrapText="1"/>
    </xf>
    <xf numFmtId="166" fontId="3" fillId="0" borderId="0" xfId="0" applyNumberFormat="1" applyFont="1" applyAlignment="1">
      <alignment horizontal="left" vertical="top" wrapText="1"/>
    </xf>
    <xf numFmtId="168" fontId="3" fillId="0" borderId="0" xfId="0" applyNumberFormat="1" applyFont="1" applyAlignment="1">
      <alignment horizontal="left" vertical="top" wrapText="1"/>
    </xf>
    <xf numFmtId="169" fontId="3" fillId="0" borderId="0" xfId="0" applyNumberFormat="1" applyFont="1" applyAlignment="1">
      <alignment horizontal="left" vertical="top" wrapText="1"/>
    </xf>
    <xf numFmtId="170" fontId="3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71" fontId="2" fillId="0" borderId="0" xfId="0" applyNumberFormat="1" applyFont="1" applyAlignment="1">
      <alignment horizontal="left" vertical="center" wrapText="1"/>
    </xf>
    <xf numFmtId="0" fontId="1" fillId="6" borderId="0" xfId="0" applyFont="1" applyFill="1" applyAlignment="1">
      <alignment horizontal="left"/>
    </xf>
    <xf numFmtId="171" fontId="3" fillId="0" borderId="0" xfId="0" applyNumberFormat="1" applyFont="1" applyAlignment="1">
      <alignment horizontal="left" vertical="top" wrapText="1"/>
    </xf>
    <xf numFmtId="170" fontId="3" fillId="0" borderId="0" xfId="0" applyNumberFormat="1" applyFont="1" applyAlignment="1">
      <alignment horizontal="left" vertical="center"/>
    </xf>
    <xf numFmtId="15" fontId="12" fillId="0" borderId="0" xfId="0" applyNumberFormat="1" applyFont="1" applyAlignment="1">
      <alignment horizontal="left"/>
    </xf>
    <xf numFmtId="172" fontId="1" fillId="2" borderId="0" xfId="0" applyNumberFormat="1" applyFont="1" applyFill="1" applyAlignment="1">
      <alignment horizontal="left"/>
    </xf>
    <xf numFmtId="2" fontId="2" fillId="0" borderId="0" xfId="0" applyNumberFormat="1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7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left" vertical="center" wrapText="1"/>
    </xf>
    <xf numFmtId="0" fontId="0" fillId="5" borderId="0" xfId="0" applyFill="1">
      <alignment vertical="center"/>
    </xf>
    <xf numFmtId="0" fontId="1" fillId="0" borderId="0" xfId="0" applyFont="1" applyAlignment="1">
      <alignment horizontal="left" wrapText="1"/>
    </xf>
    <xf numFmtId="0" fontId="18" fillId="0" borderId="0" xfId="0" applyFont="1" applyAlignment="1">
      <alignment horizontal="left" vertical="center" wrapText="1"/>
    </xf>
    <xf numFmtId="14" fontId="0" fillId="0" borderId="0" xfId="0" applyNumberFormat="1">
      <alignment vertical="center"/>
    </xf>
    <xf numFmtId="0" fontId="19" fillId="0" borderId="0" xfId="0" applyFont="1" applyAlignment="1"/>
    <xf numFmtId="0" fontId="20" fillId="5" borderId="0" xfId="0" applyFont="1" applyFill="1" applyAlignment="1">
      <alignment horizontal="left" vertical="center" wrapText="1"/>
    </xf>
    <xf numFmtId="164" fontId="18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vertical="center"/>
    </xf>
    <xf numFmtId="0" fontId="15" fillId="7" borderId="0" xfId="0" applyFont="1" applyFill="1" applyAlignment="1">
      <alignment horizontal="right" vertical="center" wrapText="1"/>
    </xf>
    <xf numFmtId="169" fontId="17" fillId="0" borderId="0" xfId="0" applyNumberFormat="1" applyFont="1" applyAlignment="1">
      <alignment horizontal="right" vertical="center" wrapText="1"/>
    </xf>
    <xf numFmtId="169" fontId="17" fillId="0" borderId="0" xfId="0" applyNumberFormat="1" applyFont="1" applyAlignment="1">
      <alignment horizontal="left" vertical="center" wrapText="1"/>
    </xf>
    <xf numFmtId="0" fontId="4" fillId="0" borderId="0" xfId="0" applyFont="1" applyAlignment="1"/>
    <xf numFmtId="0" fontId="20" fillId="5" borderId="0" xfId="0" applyFont="1" applyFill="1" applyAlignment="1">
      <alignment horizontal="right" vertical="center" wrapText="1"/>
    </xf>
    <xf numFmtId="166" fontId="18" fillId="0" borderId="0" xfId="0" applyNumberFormat="1" applyFont="1" applyAlignment="1">
      <alignment horizontal="right" vertical="center" wrapText="1"/>
    </xf>
    <xf numFmtId="167" fontId="18" fillId="0" borderId="0" xfId="0" applyNumberFormat="1" applyFont="1" applyAlignment="1">
      <alignment horizontal="right" vertical="center" wrapText="1"/>
    </xf>
    <xf numFmtId="168" fontId="18" fillId="0" borderId="0" xfId="0" applyNumberFormat="1" applyFont="1" applyAlignment="1">
      <alignment horizontal="right" vertical="center" wrapText="1"/>
    </xf>
    <xf numFmtId="169" fontId="18" fillId="0" borderId="0" xfId="0" applyNumberFormat="1" applyFont="1" applyAlignment="1">
      <alignment horizontal="right" vertical="center" wrapText="1"/>
    </xf>
    <xf numFmtId="170" fontId="4" fillId="0" borderId="0" xfId="0" applyNumberFormat="1" applyFont="1" applyAlignment="1"/>
    <xf numFmtId="0" fontId="20" fillId="0" borderId="0" xfId="0" applyFont="1" applyAlignment="1">
      <alignment horizontal="left" vertical="center" wrapText="1"/>
    </xf>
    <xf numFmtId="171" fontId="18" fillId="0" borderId="0" xfId="0" applyNumberFormat="1" applyFont="1" applyAlignment="1">
      <alignment horizontal="right" vertical="center" wrapText="1"/>
    </xf>
    <xf numFmtId="168" fontId="17" fillId="0" borderId="0" xfId="0" applyNumberFormat="1" applyFont="1" applyAlignment="1">
      <alignment horizontal="right" vertical="center" wrapText="1"/>
    </xf>
    <xf numFmtId="0" fontId="20" fillId="5" borderId="0" xfId="0" applyFont="1" applyFill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4" fillId="7" borderId="0" xfId="0" applyFont="1" applyFill="1" applyAlignment="1"/>
    <xf numFmtId="0" fontId="15" fillId="7" borderId="1" xfId="0" applyFont="1" applyFill="1" applyBorder="1" applyAlignment="1">
      <alignment horizontal="right" vertical="center" wrapText="1"/>
    </xf>
    <xf numFmtId="0" fontId="23" fillId="2" borderId="0" xfId="0" applyFont="1" applyFill="1" applyAlignment="1"/>
    <xf numFmtId="0" fontId="23" fillId="3" borderId="0" xfId="0" applyFont="1" applyFill="1" applyAlignment="1"/>
    <xf numFmtId="0" fontId="24" fillId="0" borderId="0" xfId="0" applyFont="1" applyAlignment="1"/>
    <xf numFmtId="165" fontId="19" fillId="0" borderId="0" xfId="0" applyNumberFormat="1" applyFont="1" applyAlignment="1"/>
    <xf numFmtId="170" fontId="4" fillId="0" borderId="0" xfId="0" applyNumberFormat="1" applyFont="1">
      <alignment vertical="center"/>
    </xf>
    <xf numFmtId="165" fontId="0" fillId="0" borderId="0" xfId="0" applyNumberFormat="1">
      <alignment vertical="center"/>
    </xf>
    <xf numFmtId="0" fontId="23" fillId="0" borderId="0" xfId="0" applyFont="1" applyAlignment="1">
      <alignment horizontal="right"/>
    </xf>
    <xf numFmtId="165" fontId="7" fillId="0" borderId="0" xfId="0" applyNumberFormat="1" applyFont="1">
      <alignment vertical="center"/>
    </xf>
    <xf numFmtId="15" fontId="19" fillId="0" borderId="0" xfId="0" applyNumberFormat="1" applyFont="1" applyAlignment="1"/>
    <xf numFmtId="172" fontId="23" fillId="2" borderId="0" xfId="0" applyNumberFormat="1" applyFont="1" applyFill="1" applyAlignment="1"/>
    <xf numFmtId="2" fontId="7" fillId="0" borderId="0" xfId="0" applyNumberFormat="1" applyFont="1">
      <alignment vertical="center"/>
    </xf>
    <xf numFmtId="0" fontId="23" fillId="6" borderId="0" xfId="0" applyFont="1" applyFill="1" applyAlignment="1"/>
    <xf numFmtId="0" fontId="7" fillId="6" borderId="0" xfId="0" applyFont="1" applyFill="1">
      <alignment vertical="center"/>
    </xf>
    <xf numFmtId="0" fontId="25" fillId="0" borderId="0" xfId="0" applyFont="1">
      <alignment vertical="center"/>
    </xf>
    <xf numFmtId="0" fontId="26" fillId="7" borderId="0" xfId="0" applyFont="1" applyFill="1" applyAlignment="1">
      <alignment horizontal="left" vertical="center" wrapText="1"/>
    </xf>
    <xf numFmtId="0" fontId="26" fillId="7" borderId="0" xfId="0" applyFont="1" applyFill="1" applyAlignment="1">
      <alignment horizontal="right"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right" vertical="center" wrapText="1"/>
    </xf>
    <xf numFmtId="164" fontId="27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166" fontId="27" fillId="0" borderId="0" xfId="0" applyNumberFormat="1" applyFont="1" applyAlignment="1">
      <alignment horizontal="right" vertical="center" wrapText="1"/>
    </xf>
    <xf numFmtId="168" fontId="27" fillId="0" borderId="0" xfId="0" applyNumberFormat="1" applyFont="1" applyAlignment="1">
      <alignment horizontal="right" vertical="center" wrapText="1"/>
    </xf>
    <xf numFmtId="169" fontId="27" fillId="0" borderId="0" xfId="0" applyNumberFormat="1" applyFont="1" applyAlignment="1">
      <alignment horizontal="right" vertical="center" wrapText="1"/>
    </xf>
    <xf numFmtId="166" fontId="18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horizontal="right" vertical="center" wrapText="1"/>
    </xf>
    <xf numFmtId="171" fontId="27" fillId="0" borderId="0" xfId="0" applyNumberFormat="1" applyFont="1" applyAlignment="1">
      <alignment horizontal="right" vertical="center" wrapText="1"/>
    </xf>
    <xf numFmtId="170" fontId="9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8" fillId="7" borderId="0" xfId="0" applyFont="1" applyFill="1" applyAlignment="1"/>
    <xf numFmtId="166" fontId="0" fillId="0" borderId="0" xfId="0" applyNumberFormat="1">
      <alignment vertical="center"/>
    </xf>
    <xf numFmtId="169" fontId="0" fillId="0" borderId="0" xfId="0" applyNumberFormat="1">
      <alignment vertical="center"/>
    </xf>
    <xf numFmtId="170" fontId="4" fillId="8" borderId="0" xfId="0" applyNumberFormat="1" applyFont="1" applyFill="1">
      <alignment vertical="center"/>
    </xf>
    <xf numFmtId="15" fontId="7" fillId="0" borderId="0" xfId="0" applyNumberFormat="1" applyFont="1" applyAlignment="1"/>
    <xf numFmtId="0" fontId="17" fillId="7" borderId="0" xfId="0" applyFont="1" applyFill="1" applyAlignment="1">
      <alignment horizontal="left" vertical="center" wrapText="1"/>
    </xf>
    <xf numFmtId="164" fontId="17" fillId="7" borderId="0" xfId="0" applyNumberFormat="1" applyFont="1" applyFill="1" applyAlignment="1">
      <alignment horizontal="left" vertical="center" wrapText="1"/>
    </xf>
    <xf numFmtId="169" fontId="17" fillId="7" borderId="0" xfId="0" applyNumberFormat="1" applyFont="1" applyFill="1" applyAlignment="1">
      <alignment horizontal="right" vertical="center" wrapText="1"/>
    </xf>
    <xf numFmtId="169" fontId="17" fillId="7" borderId="0" xfId="0" applyNumberFormat="1" applyFont="1" applyFill="1" applyAlignment="1">
      <alignment horizontal="left" vertical="center" wrapText="1"/>
    </xf>
    <xf numFmtId="168" fontId="17" fillId="7" borderId="0" xfId="0" applyNumberFormat="1" applyFont="1" applyFill="1" applyAlignment="1">
      <alignment horizontal="right" vertical="center" wrapText="1"/>
    </xf>
    <xf numFmtId="0" fontId="19" fillId="8" borderId="0" xfId="0" applyFont="1" applyFill="1" applyAlignment="1"/>
    <xf numFmtId="167" fontId="18" fillId="8" borderId="0" xfId="0" applyNumberFormat="1" applyFont="1" applyFill="1" applyAlignment="1">
      <alignment horizontal="right" vertical="center" wrapText="1"/>
    </xf>
    <xf numFmtId="170" fontId="0" fillId="0" borderId="0" xfId="0" applyNumberFormat="1">
      <alignment vertical="center"/>
    </xf>
    <xf numFmtId="169" fontId="5" fillId="0" borderId="0" xfId="0" applyNumberFormat="1" applyFont="1" applyAlignment="1"/>
    <xf numFmtId="4" fontId="0" fillId="0" borderId="0" xfId="0" applyNumberFormat="1">
      <alignment vertical="center"/>
    </xf>
    <xf numFmtId="169" fontId="18" fillId="4" borderId="0" xfId="0" applyNumberFormat="1" applyFont="1" applyFill="1" applyAlignment="1">
      <alignment horizontal="right" vertical="center" wrapText="1"/>
    </xf>
    <xf numFmtId="0" fontId="15" fillId="7" borderId="0" xfId="0" applyFont="1" applyFill="1" applyAlignment="1">
      <alignment horizontal="left" vertical="center" wrapText="1"/>
    </xf>
    <xf numFmtId="0" fontId="15" fillId="7" borderId="0" xfId="0" applyFont="1" applyFill="1" applyAlignment="1">
      <alignment horizontal="right" vertical="center" wrapText="1"/>
    </xf>
    <xf numFmtId="169" fontId="17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169" fontId="17" fillId="0" borderId="0" xfId="0" applyNumberFormat="1" applyFont="1" applyAlignment="1">
      <alignment horizontal="right" vertical="center" wrapText="1"/>
    </xf>
    <xf numFmtId="168" fontId="17" fillId="0" borderId="0" xfId="0" applyNumberFormat="1" applyFont="1" applyAlignment="1">
      <alignment horizontal="right" vertical="center" wrapText="1"/>
    </xf>
    <xf numFmtId="169" fontId="17" fillId="7" borderId="0" xfId="0" applyNumberFormat="1" applyFont="1" applyFill="1" applyAlignment="1">
      <alignment horizontal="left" vertical="center" wrapText="1"/>
    </xf>
    <xf numFmtId="0" fontId="17" fillId="7" borderId="0" xfId="0" applyFont="1" applyFill="1" applyAlignment="1">
      <alignment horizontal="left" vertical="center" wrapText="1"/>
    </xf>
    <xf numFmtId="169" fontId="17" fillId="7" borderId="0" xfId="0" applyNumberFormat="1" applyFont="1" applyFill="1" applyAlignment="1">
      <alignment horizontal="right" vertical="center" wrapText="1"/>
    </xf>
    <xf numFmtId="168" fontId="17" fillId="7" borderId="0" xfId="0" applyNumberFormat="1" applyFont="1" applyFill="1" applyAlignment="1">
      <alignment horizontal="right" vertical="center" wrapText="1"/>
    </xf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0" fillId="5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0" fillId="6" borderId="0" xfId="0" applyFill="1">
      <alignment vertical="center"/>
    </xf>
    <xf numFmtId="0" fontId="9" fillId="6" borderId="0" xfId="0" applyFont="1" applyFill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12" Type="http://schemas.openxmlformats.org/officeDocument/2006/relationships/image" Target="../media/image31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5" Type="http://schemas.openxmlformats.org/officeDocument/2006/relationships/image" Target="../media/image24.png"/><Relationship Id="rId10" Type="http://schemas.openxmlformats.org/officeDocument/2006/relationships/image" Target="../media/image29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4</xdr:row>
      <xdr:rowOff>0</xdr:rowOff>
    </xdr:from>
    <xdr:to>
      <xdr:col>11</xdr:col>
      <xdr:colOff>374015</xdr:colOff>
      <xdr:row>10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35" y="746760"/>
          <a:ext cx="10058400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</xdr:row>
      <xdr:rowOff>0</xdr:rowOff>
    </xdr:from>
    <xdr:to>
      <xdr:col>11</xdr:col>
      <xdr:colOff>374015</xdr:colOff>
      <xdr:row>18</xdr:row>
      <xdr:rowOff>165735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5" y="2026920"/>
          <a:ext cx="10058400" cy="1445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20</xdr:row>
      <xdr:rowOff>0</xdr:rowOff>
    </xdr:from>
    <xdr:to>
      <xdr:col>11</xdr:col>
      <xdr:colOff>374015</xdr:colOff>
      <xdr:row>38</xdr:row>
      <xdr:rowOff>153670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35" y="3672840"/>
          <a:ext cx="10058400" cy="3445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40</xdr:row>
      <xdr:rowOff>0</xdr:rowOff>
    </xdr:from>
    <xdr:to>
      <xdr:col>11</xdr:col>
      <xdr:colOff>374015</xdr:colOff>
      <xdr:row>44</xdr:row>
      <xdr:rowOff>54610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35" y="7330440"/>
          <a:ext cx="10058400" cy="786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45</xdr:col>
      <xdr:colOff>358140</xdr:colOff>
      <xdr:row>31</xdr:row>
      <xdr:rowOff>45085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8704540" y="1295400"/>
          <a:ext cx="10058400" cy="443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77</xdr:row>
      <xdr:rowOff>0</xdr:rowOff>
    </xdr:from>
    <xdr:to>
      <xdr:col>11</xdr:col>
      <xdr:colOff>374015</xdr:colOff>
      <xdr:row>81</xdr:row>
      <xdr:rowOff>104140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35" y="17001490"/>
          <a:ext cx="10058400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83</xdr:row>
      <xdr:rowOff>0</xdr:rowOff>
    </xdr:from>
    <xdr:to>
      <xdr:col>11</xdr:col>
      <xdr:colOff>374015</xdr:colOff>
      <xdr:row>90</xdr:row>
      <xdr:rowOff>182245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35" y="18098770"/>
          <a:ext cx="10058400" cy="1462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112</xdr:row>
      <xdr:rowOff>0</xdr:rowOff>
    </xdr:from>
    <xdr:to>
      <xdr:col>11</xdr:col>
      <xdr:colOff>374015</xdr:colOff>
      <xdr:row>135</xdr:row>
      <xdr:rowOff>23495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35" y="27823160"/>
          <a:ext cx="10058400" cy="4229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136</xdr:row>
      <xdr:rowOff>0</xdr:rowOff>
    </xdr:from>
    <xdr:to>
      <xdr:col>11</xdr:col>
      <xdr:colOff>374015</xdr:colOff>
      <xdr:row>140</xdr:row>
      <xdr:rowOff>88900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35" y="32212280"/>
          <a:ext cx="10058400" cy="820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142</xdr:row>
      <xdr:rowOff>0</xdr:rowOff>
    </xdr:from>
    <xdr:to>
      <xdr:col>11</xdr:col>
      <xdr:colOff>374015</xdr:colOff>
      <xdr:row>146</xdr:row>
      <xdr:rowOff>41910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35" y="33309560"/>
          <a:ext cx="10058400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154</xdr:row>
      <xdr:rowOff>0</xdr:rowOff>
    </xdr:from>
    <xdr:to>
      <xdr:col>11</xdr:col>
      <xdr:colOff>376555</xdr:colOff>
      <xdr:row>159</xdr:row>
      <xdr:rowOff>20955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35" y="35580320"/>
          <a:ext cx="10060940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160</xdr:row>
      <xdr:rowOff>0</xdr:rowOff>
    </xdr:from>
    <xdr:to>
      <xdr:col>11</xdr:col>
      <xdr:colOff>376555</xdr:colOff>
      <xdr:row>166</xdr:row>
      <xdr:rowOff>109855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35" y="36677600"/>
          <a:ext cx="10060940" cy="120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197</xdr:row>
      <xdr:rowOff>0</xdr:rowOff>
    </xdr:from>
    <xdr:to>
      <xdr:col>11</xdr:col>
      <xdr:colOff>370205</xdr:colOff>
      <xdr:row>201</xdr:row>
      <xdr:rowOff>172085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35" y="48197770"/>
          <a:ext cx="10054590" cy="90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203</xdr:row>
      <xdr:rowOff>0</xdr:rowOff>
    </xdr:from>
    <xdr:to>
      <xdr:col>11</xdr:col>
      <xdr:colOff>370205</xdr:colOff>
      <xdr:row>210</xdr:row>
      <xdr:rowOff>131445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35" y="49295050"/>
          <a:ext cx="10054590" cy="1411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211</xdr:row>
      <xdr:rowOff>182245</xdr:rowOff>
    </xdr:from>
    <xdr:to>
      <xdr:col>11</xdr:col>
      <xdr:colOff>370205</xdr:colOff>
      <xdr:row>227</xdr:row>
      <xdr:rowOff>49530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35" y="50940335"/>
          <a:ext cx="10054590" cy="2793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229</xdr:row>
      <xdr:rowOff>0</xdr:rowOff>
    </xdr:from>
    <xdr:to>
      <xdr:col>11</xdr:col>
      <xdr:colOff>370205</xdr:colOff>
      <xdr:row>233</xdr:row>
      <xdr:rowOff>29845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35" y="54049930"/>
          <a:ext cx="10054590" cy="761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268</xdr:row>
      <xdr:rowOff>182245</xdr:rowOff>
    </xdr:from>
    <xdr:to>
      <xdr:col>11</xdr:col>
      <xdr:colOff>370205</xdr:colOff>
      <xdr:row>275</xdr:row>
      <xdr:rowOff>163830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35" y="66092705"/>
          <a:ext cx="10054590" cy="1261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277</xdr:row>
      <xdr:rowOff>182245</xdr:rowOff>
    </xdr:from>
    <xdr:to>
      <xdr:col>11</xdr:col>
      <xdr:colOff>370205</xdr:colOff>
      <xdr:row>294</xdr:row>
      <xdr:rowOff>45085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35" y="67738625"/>
          <a:ext cx="10054590" cy="297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296</xdr:row>
      <xdr:rowOff>0</xdr:rowOff>
    </xdr:from>
    <xdr:to>
      <xdr:col>11</xdr:col>
      <xdr:colOff>370205</xdr:colOff>
      <xdr:row>300</xdr:row>
      <xdr:rowOff>156210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35" y="71031100"/>
          <a:ext cx="10054590" cy="8877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4</xdr:row>
      <xdr:rowOff>0</xdr:rowOff>
    </xdr:from>
    <xdr:to>
      <xdr:col>12</xdr:col>
      <xdr:colOff>876935</xdr:colOff>
      <xdr:row>9</xdr:row>
      <xdr:rowOff>111760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35" y="670560"/>
          <a:ext cx="10058400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</xdr:row>
      <xdr:rowOff>0</xdr:rowOff>
    </xdr:from>
    <xdr:to>
      <xdr:col>12</xdr:col>
      <xdr:colOff>876935</xdr:colOff>
      <xdr:row>20</xdr:row>
      <xdr:rowOff>13970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5" y="1539240"/>
          <a:ext cx="10058400" cy="1461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20</xdr:row>
      <xdr:rowOff>0</xdr:rowOff>
    </xdr:from>
    <xdr:to>
      <xdr:col>12</xdr:col>
      <xdr:colOff>876935</xdr:colOff>
      <xdr:row>43</xdr:row>
      <xdr:rowOff>67310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35" y="2987040"/>
          <a:ext cx="10058400" cy="339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40</xdr:row>
      <xdr:rowOff>0</xdr:rowOff>
    </xdr:from>
    <xdr:to>
      <xdr:col>12</xdr:col>
      <xdr:colOff>876935</xdr:colOff>
      <xdr:row>45</xdr:row>
      <xdr:rowOff>103505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35" y="5882640"/>
          <a:ext cx="10058400" cy="827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84</xdr:row>
      <xdr:rowOff>0</xdr:rowOff>
    </xdr:from>
    <xdr:to>
      <xdr:col>12</xdr:col>
      <xdr:colOff>872490</xdr:colOff>
      <xdr:row>91</xdr:row>
      <xdr:rowOff>67309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35" y="13488670"/>
          <a:ext cx="10053955" cy="1080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93</xdr:row>
      <xdr:rowOff>0</xdr:rowOff>
    </xdr:from>
    <xdr:to>
      <xdr:col>12</xdr:col>
      <xdr:colOff>872490</xdr:colOff>
      <xdr:row>103</xdr:row>
      <xdr:rowOff>2539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35" y="14791690"/>
          <a:ext cx="10053955" cy="145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135</xdr:row>
      <xdr:rowOff>0</xdr:rowOff>
    </xdr:from>
    <xdr:to>
      <xdr:col>12</xdr:col>
      <xdr:colOff>873125</xdr:colOff>
      <xdr:row>140</xdr:row>
      <xdr:rowOff>133351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35" y="21945600"/>
          <a:ext cx="10054590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142</xdr:row>
      <xdr:rowOff>0</xdr:rowOff>
    </xdr:from>
    <xdr:to>
      <xdr:col>12</xdr:col>
      <xdr:colOff>873125</xdr:colOff>
      <xdr:row>150</xdr:row>
      <xdr:rowOff>17779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35" y="22959060"/>
          <a:ext cx="10054590" cy="1176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174</xdr:row>
      <xdr:rowOff>144145</xdr:rowOff>
    </xdr:from>
    <xdr:to>
      <xdr:col>12</xdr:col>
      <xdr:colOff>872490</xdr:colOff>
      <xdr:row>181</xdr:row>
      <xdr:rowOff>65406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35" y="28489275"/>
          <a:ext cx="10053955" cy="934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182</xdr:row>
      <xdr:rowOff>0</xdr:rowOff>
    </xdr:from>
    <xdr:to>
      <xdr:col>12</xdr:col>
      <xdr:colOff>872490</xdr:colOff>
      <xdr:row>189</xdr:row>
      <xdr:rowOff>128904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35" y="29503370"/>
          <a:ext cx="10053955" cy="1142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213</xdr:row>
      <xdr:rowOff>0</xdr:rowOff>
    </xdr:from>
    <xdr:to>
      <xdr:col>12</xdr:col>
      <xdr:colOff>872490</xdr:colOff>
      <xdr:row>218</xdr:row>
      <xdr:rowOff>51436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35" y="33991550"/>
          <a:ext cx="10053955" cy="77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191</xdr:row>
      <xdr:rowOff>0</xdr:rowOff>
    </xdr:from>
    <xdr:to>
      <xdr:col>12</xdr:col>
      <xdr:colOff>872490</xdr:colOff>
      <xdr:row>212</xdr:row>
      <xdr:rowOff>45085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35" y="30806390"/>
          <a:ext cx="10053955" cy="30854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24"/>
  <sheetViews>
    <sheetView tabSelected="1" workbookViewId="0">
      <selection activeCell="A75" sqref="A75:XFD83"/>
    </sheetView>
  </sheetViews>
  <sheetFormatPr defaultColWidth="8.90625" defaultRowHeight="14.5"/>
  <cols>
    <col min="3" max="3" width="12.6328125" customWidth="1"/>
    <col min="4" max="4" width="25" customWidth="1"/>
    <col min="5" max="6" width="9.54296875"/>
    <col min="7" max="7" width="19.6328125" customWidth="1"/>
    <col min="8" max="8" width="13.6328125" customWidth="1"/>
    <col min="9" max="9" width="9.81640625"/>
    <col min="11" max="11" width="14.6328125"/>
    <col min="12" max="12" width="24.1796875" customWidth="1"/>
    <col min="13" max="13" width="38.81640625" customWidth="1"/>
    <col min="14" max="14" width="14.6328125"/>
    <col min="15" max="15" width="9.6328125"/>
    <col min="16" max="16" width="19" customWidth="1"/>
    <col min="17" max="17" width="12.1796875" customWidth="1"/>
    <col min="18" max="18" width="16.90625" customWidth="1"/>
    <col min="20" max="20" width="14.453125" customWidth="1"/>
    <col min="22" max="22" width="13.90625" customWidth="1"/>
    <col min="24" max="24" width="16.08984375" customWidth="1"/>
    <col min="25" max="25" width="10.90625"/>
    <col min="29" max="29" width="12.453125"/>
    <col min="30" max="30" width="11.1796875"/>
    <col min="31" max="31" width="9.54296875"/>
    <col min="36" max="36" width="9.81640625"/>
    <col min="38" max="38" width="9.81640625"/>
    <col min="40" max="40" width="18.1796875" customWidth="1"/>
    <col min="44" max="44" width="9.90625" customWidth="1"/>
    <col min="45" max="45" width="13.81640625" customWidth="1"/>
  </cols>
  <sheetData>
    <row r="1" spans="1:73" s="8" customFormat="1">
      <c r="A1" s="76" t="s">
        <v>0</v>
      </c>
      <c r="B1" s="76" t="s">
        <v>1</v>
      </c>
      <c r="C1" s="76" t="s">
        <v>2</v>
      </c>
      <c r="D1" s="76" t="s">
        <v>3</v>
      </c>
      <c r="E1" s="77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7" t="s">
        <v>14</v>
      </c>
      <c r="P1" s="77" t="s">
        <v>15</v>
      </c>
      <c r="Q1" s="76" t="s">
        <v>16</v>
      </c>
      <c r="R1" s="76" t="s">
        <v>17</v>
      </c>
      <c r="S1" s="77" t="s">
        <v>18</v>
      </c>
      <c r="T1" s="76" t="s">
        <v>19</v>
      </c>
      <c r="U1" s="76" t="s">
        <v>20</v>
      </c>
      <c r="V1" s="76" t="s">
        <v>21</v>
      </c>
      <c r="W1" s="76" t="s">
        <v>22</v>
      </c>
      <c r="X1" s="76" t="s">
        <v>23</v>
      </c>
      <c r="Y1" s="76" t="s">
        <v>24</v>
      </c>
      <c r="Z1" s="76" t="s">
        <v>25</v>
      </c>
      <c r="AA1" s="76" t="s">
        <v>26</v>
      </c>
      <c r="AB1" s="76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6" t="s">
        <v>33</v>
      </c>
      <c r="AI1" s="76" t="s">
        <v>34</v>
      </c>
      <c r="AJ1" s="76" t="s">
        <v>35</v>
      </c>
      <c r="AK1" s="76" t="s">
        <v>36</v>
      </c>
      <c r="AL1" s="76" t="s">
        <v>37</v>
      </c>
      <c r="AM1" s="85" t="s">
        <v>38</v>
      </c>
      <c r="AN1" s="76" t="s">
        <v>39</v>
      </c>
      <c r="AO1" s="76" t="s">
        <v>40</v>
      </c>
      <c r="AP1" s="76" t="s">
        <v>41</v>
      </c>
      <c r="AQ1" s="76" t="s">
        <v>42</v>
      </c>
      <c r="AR1" s="87" t="s">
        <v>43</v>
      </c>
      <c r="AS1" s="76" t="s">
        <v>44</v>
      </c>
      <c r="AT1" s="87" t="s">
        <v>45</v>
      </c>
      <c r="AU1" s="76" t="s">
        <v>46</v>
      </c>
      <c r="AV1" s="76" t="s">
        <v>47</v>
      </c>
      <c r="AW1" s="76" t="s">
        <v>48</v>
      </c>
      <c r="AX1" s="87" t="s">
        <v>49</v>
      </c>
      <c r="AY1" s="76" t="s">
        <v>50</v>
      </c>
      <c r="AZ1" s="87" t="s">
        <v>51</v>
      </c>
      <c r="BA1" s="76" t="s">
        <v>52</v>
      </c>
      <c r="BB1" s="76" t="s">
        <v>53</v>
      </c>
      <c r="BC1" s="76" t="s">
        <v>54</v>
      </c>
      <c r="BD1" s="76" t="s">
        <v>55</v>
      </c>
      <c r="BE1" s="76" t="s">
        <v>56</v>
      </c>
      <c r="BF1" s="76" t="s">
        <v>57</v>
      </c>
      <c r="BG1" s="76" t="s">
        <v>58</v>
      </c>
      <c r="BH1" s="76" t="s">
        <v>59</v>
      </c>
      <c r="BI1" s="76" t="s">
        <v>60</v>
      </c>
      <c r="BJ1" s="76" t="s">
        <v>61</v>
      </c>
      <c r="BK1" s="76" t="s">
        <v>62</v>
      </c>
      <c r="BL1" s="76" t="s">
        <v>63</v>
      </c>
      <c r="BM1" s="76" t="s">
        <v>64</v>
      </c>
      <c r="BN1" s="76" t="s">
        <v>65</v>
      </c>
      <c r="BO1" s="76" t="s">
        <v>66</v>
      </c>
      <c r="BP1" s="76" t="s">
        <v>67</v>
      </c>
      <c r="BQ1" s="76" t="s">
        <v>68</v>
      </c>
      <c r="BR1" s="76" t="s">
        <v>69</v>
      </c>
      <c r="BS1" s="76" t="s">
        <v>70</v>
      </c>
      <c r="BT1" s="76" t="s">
        <v>71</v>
      </c>
      <c r="BU1" s="76" t="s">
        <v>72</v>
      </c>
    </row>
    <row r="2" spans="1:73" s="9" customFormat="1" ht="15" customHeight="1">
      <c r="A2" s="9" t="s">
        <v>73</v>
      </c>
      <c r="B2" s="9" t="s">
        <v>74</v>
      </c>
      <c r="C2" s="9" t="s">
        <v>75</v>
      </c>
      <c r="D2" s="9">
        <v>30</v>
      </c>
      <c r="E2" s="78" t="s">
        <v>76</v>
      </c>
      <c r="F2" s="9" t="s">
        <v>77</v>
      </c>
      <c r="G2" s="9" t="s">
        <v>78</v>
      </c>
      <c r="H2" s="9" t="s">
        <v>79</v>
      </c>
      <c r="I2" s="9" t="s">
        <v>80</v>
      </c>
      <c r="J2" s="53"/>
      <c r="K2" s="53"/>
      <c r="L2" s="53"/>
      <c r="M2" s="53"/>
      <c r="N2" s="79"/>
      <c r="O2" s="53">
        <v>6600</v>
      </c>
      <c r="P2" s="79">
        <v>525</v>
      </c>
      <c r="Q2" s="9">
        <v>0</v>
      </c>
      <c r="R2" s="81">
        <f>O2*P2</f>
        <v>3465000</v>
      </c>
      <c r="S2" s="6">
        <v>1.1848340000000001E-2</v>
      </c>
      <c r="T2" s="81">
        <f>R2*S2</f>
        <v>41054.498100000004</v>
      </c>
      <c r="U2" s="82">
        <v>0</v>
      </c>
      <c r="V2" s="82">
        <v>0</v>
      </c>
      <c r="W2" s="83">
        <f>O2*P2</f>
        <v>3465000</v>
      </c>
      <c r="X2" s="81">
        <f>W2*S2</f>
        <v>41054.498100000004</v>
      </c>
      <c r="Y2" s="9" t="s">
        <v>81</v>
      </c>
      <c r="Z2" s="9" t="s">
        <v>82</v>
      </c>
      <c r="AA2" s="9" t="s">
        <v>83</v>
      </c>
      <c r="AB2" s="9" t="s">
        <v>84</v>
      </c>
      <c r="AC2" s="53" t="s">
        <v>85</v>
      </c>
      <c r="AD2" s="84">
        <v>45626</v>
      </c>
      <c r="AE2" s="84">
        <v>45626</v>
      </c>
      <c r="AF2" s="84">
        <v>45626</v>
      </c>
      <c r="AG2" s="84">
        <v>45832</v>
      </c>
      <c r="AH2" s="9" t="s">
        <v>86</v>
      </c>
      <c r="AI2" s="9" t="s">
        <v>87</v>
      </c>
      <c r="AJ2" s="6">
        <v>1.1848340000000001E-2</v>
      </c>
      <c r="AK2" s="86">
        <f>W2*AJ2</f>
        <v>41054.498100000004</v>
      </c>
      <c r="AM2" s="109">
        <v>45626</v>
      </c>
      <c r="AN2" s="82">
        <v>0</v>
      </c>
      <c r="AO2" s="82">
        <v>0</v>
      </c>
      <c r="AR2" s="88" t="s">
        <v>88</v>
      </c>
      <c r="AS2" s="9" t="s">
        <v>78</v>
      </c>
      <c r="AT2" s="53">
        <v>6600</v>
      </c>
      <c r="AU2" s="53">
        <v>6600</v>
      </c>
      <c r="AV2" s="6">
        <v>1.1848340000000001E-2</v>
      </c>
      <c r="AW2" s="82">
        <v>0</v>
      </c>
      <c r="AX2" s="88" t="s">
        <v>89</v>
      </c>
      <c r="AY2" s="9" t="s">
        <v>78</v>
      </c>
      <c r="AZ2" s="53">
        <v>6600</v>
      </c>
      <c r="BA2" s="53">
        <v>6600</v>
      </c>
      <c r="BB2" s="6">
        <v>1.1848340000000001E-2</v>
      </c>
      <c r="BC2" s="82">
        <v>0</v>
      </c>
      <c r="BD2" s="89"/>
      <c r="BE2" s="89"/>
      <c r="BF2" s="82">
        <v>0</v>
      </c>
      <c r="BG2" s="82">
        <v>0</v>
      </c>
      <c r="BH2" s="9">
        <v>0</v>
      </c>
      <c r="BI2" s="82">
        <v>0</v>
      </c>
      <c r="BJ2" s="89"/>
      <c r="BK2" s="89"/>
      <c r="BL2" s="82">
        <v>0</v>
      </c>
      <c r="BM2" s="82">
        <v>0</v>
      </c>
      <c r="BN2" s="9">
        <v>0</v>
      </c>
      <c r="BO2" s="82">
        <v>0</v>
      </c>
      <c r="BP2" s="89"/>
      <c r="BQ2" s="89"/>
      <c r="BR2" s="82">
        <v>0</v>
      </c>
      <c r="BS2" s="82">
        <v>0</v>
      </c>
      <c r="BT2" s="9">
        <v>0</v>
      </c>
      <c r="BU2" s="82">
        <v>0</v>
      </c>
    </row>
    <row r="3" spans="1:73" s="9" customFormat="1" ht="15" customHeight="1">
      <c r="A3" s="9" t="s">
        <v>73</v>
      </c>
      <c r="B3" s="9" t="s">
        <v>74</v>
      </c>
      <c r="C3" s="9" t="s">
        <v>75</v>
      </c>
      <c r="D3" s="9">
        <v>30</v>
      </c>
      <c r="E3" s="78" t="s">
        <v>76</v>
      </c>
      <c r="F3" s="9" t="s">
        <v>77</v>
      </c>
      <c r="G3" s="9" t="s">
        <v>78</v>
      </c>
      <c r="H3" s="9" t="s">
        <v>79</v>
      </c>
      <c r="I3" s="9" t="s">
        <v>80</v>
      </c>
      <c r="J3" s="53"/>
      <c r="K3" s="53"/>
      <c r="L3" s="53"/>
      <c r="M3" s="53"/>
      <c r="N3" s="79"/>
      <c r="O3" s="53">
        <v>3400</v>
      </c>
      <c r="P3" s="79">
        <v>525</v>
      </c>
      <c r="Q3" s="9">
        <v>0</v>
      </c>
      <c r="R3" s="81">
        <f>O3*P3</f>
        <v>1785000</v>
      </c>
      <c r="S3" s="6">
        <v>1.1848340000000001E-2</v>
      </c>
      <c r="T3" s="81">
        <f>R3*S3</f>
        <v>21149.286900000003</v>
      </c>
      <c r="U3" s="82">
        <v>0</v>
      </c>
      <c r="V3" s="82">
        <v>0</v>
      </c>
      <c r="W3" s="83">
        <f>O3*P3</f>
        <v>1785000</v>
      </c>
      <c r="X3" s="81">
        <f>W3*S3</f>
        <v>21149.286900000003</v>
      </c>
      <c r="Y3" s="9" t="s">
        <v>81</v>
      </c>
      <c r="Z3" s="9" t="s">
        <v>82</v>
      </c>
      <c r="AA3" s="9" t="s">
        <v>83</v>
      </c>
      <c r="AB3" s="9" t="s">
        <v>84</v>
      </c>
      <c r="AC3" s="53" t="s">
        <v>85</v>
      </c>
      <c r="AD3" s="84">
        <v>45626</v>
      </c>
      <c r="AE3" s="84">
        <v>45626</v>
      </c>
      <c r="AF3" s="84">
        <v>45627</v>
      </c>
      <c r="AG3" s="84">
        <v>45832</v>
      </c>
      <c r="AH3" s="9" t="s">
        <v>86</v>
      </c>
      <c r="AI3" s="9" t="s">
        <v>87</v>
      </c>
      <c r="AJ3" s="6">
        <v>1.1848340000000001E-2</v>
      </c>
      <c r="AK3" s="86">
        <f>W3*AJ3</f>
        <v>21149.286900000003</v>
      </c>
      <c r="AM3" s="109">
        <v>45626</v>
      </c>
      <c r="AN3" s="82">
        <v>0</v>
      </c>
      <c r="AO3" s="82">
        <v>0</v>
      </c>
      <c r="AR3" s="88" t="s">
        <v>88</v>
      </c>
      <c r="AS3" s="9" t="s">
        <v>78</v>
      </c>
      <c r="AT3" s="53">
        <v>3400</v>
      </c>
      <c r="AU3" s="53">
        <v>3400</v>
      </c>
      <c r="AV3" s="6">
        <v>1.1848340000000001E-2</v>
      </c>
      <c r="AW3" s="82">
        <v>0</v>
      </c>
      <c r="AX3" s="88" t="s">
        <v>89</v>
      </c>
      <c r="AY3" s="9" t="s">
        <v>78</v>
      </c>
      <c r="AZ3" s="53">
        <v>3400</v>
      </c>
      <c r="BA3" s="53">
        <v>3400</v>
      </c>
      <c r="BB3" s="6">
        <v>1.1848340000000001E-2</v>
      </c>
      <c r="BC3" s="82">
        <v>0</v>
      </c>
      <c r="BD3" s="89"/>
      <c r="BE3" s="89"/>
      <c r="BF3" s="82">
        <v>0</v>
      </c>
      <c r="BG3" s="82">
        <v>0</v>
      </c>
      <c r="BH3" s="9">
        <v>0</v>
      </c>
      <c r="BI3" s="82">
        <v>0</v>
      </c>
      <c r="BJ3" s="89"/>
      <c r="BK3" s="89"/>
      <c r="BL3" s="82">
        <v>0</v>
      </c>
      <c r="BM3" s="82">
        <v>0</v>
      </c>
      <c r="BN3" s="9">
        <v>0</v>
      </c>
      <c r="BO3" s="82">
        <v>0</v>
      </c>
      <c r="BP3" s="89"/>
      <c r="BQ3" s="89"/>
      <c r="BR3" s="82">
        <v>0</v>
      </c>
      <c r="BS3" s="82">
        <v>0</v>
      </c>
      <c r="BT3" s="9">
        <v>0</v>
      </c>
      <c r="BU3" s="82">
        <v>0</v>
      </c>
    </row>
    <row r="46" spans="1:31">
      <c r="A46" s="137" t="s">
        <v>90</v>
      </c>
    </row>
    <row r="48" spans="1:31" s="7" customFormat="1" ht="30" customHeight="1">
      <c r="A48" s="68" t="s">
        <v>91</v>
      </c>
      <c r="B48" s="68" t="s">
        <v>92</v>
      </c>
      <c r="C48" s="68" t="s">
        <v>93</v>
      </c>
      <c r="D48" s="68" t="s">
        <v>94</v>
      </c>
      <c r="E48" s="68" t="s">
        <v>95</v>
      </c>
      <c r="F48" s="68" t="s">
        <v>96</v>
      </c>
      <c r="G48" s="68" t="s">
        <v>97</v>
      </c>
      <c r="H48" s="101" t="s">
        <v>98</v>
      </c>
      <c r="I48" s="101" t="s">
        <v>99</v>
      </c>
      <c r="J48" s="101" t="s">
        <v>100</v>
      </c>
      <c r="K48" s="101" t="s">
        <v>101</v>
      </c>
      <c r="L48" s="101" t="s">
        <v>102</v>
      </c>
      <c r="M48" s="101" t="s">
        <v>103</v>
      </c>
      <c r="N48" s="68" t="s">
        <v>104</v>
      </c>
      <c r="O48" s="101" t="s">
        <v>105</v>
      </c>
      <c r="P48" s="101" t="s">
        <v>106</v>
      </c>
      <c r="Q48" s="68" t="s">
        <v>107</v>
      </c>
      <c r="R48" s="68" t="s">
        <v>108</v>
      </c>
      <c r="S48" s="68" t="s">
        <v>109</v>
      </c>
      <c r="T48" s="68" t="s">
        <v>110</v>
      </c>
      <c r="U48" s="68" t="s">
        <v>111</v>
      </c>
      <c r="V48" s="68" t="s">
        <v>112</v>
      </c>
      <c r="W48" s="101" t="s">
        <v>113</v>
      </c>
      <c r="X48" s="68" t="s">
        <v>114</v>
      </c>
      <c r="Y48" s="68" t="s">
        <v>115</v>
      </c>
      <c r="Z48" s="68" t="s">
        <v>116</v>
      </c>
      <c r="AA48" s="68" t="s">
        <v>117</v>
      </c>
      <c r="AB48" s="68" t="s">
        <v>118</v>
      </c>
      <c r="AC48" s="68" t="s">
        <v>119</v>
      </c>
      <c r="AD48" s="68" t="s">
        <v>120</v>
      </c>
      <c r="AE48" s="104" t="s">
        <v>121</v>
      </c>
    </row>
    <row r="49" spans="1:30" s="7" customFormat="1" ht="21.5" customHeight="1">
      <c r="B49" s="51" t="s">
        <v>76</v>
      </c>
      <c r="C49" s="51" t="s">
        <v>122</v>
      </c>
      <c r="E49" s="51" t="s">
        <v>78</v>
      </c>
      <c r="G49" s="55">
        <v>45832</v>
      </c>
      <c r="H49" s="63">
        <v>10000</v>
      </c>
      <c r="I49" s="64">
        <v>526</v>
      </c>
      <c r="J49" s="65">
        <v>525</v>
      </c>
      <c r="K49" s="66">
        <v>5260000</v>
      </c>
      <c r="L49" s="66">
        <v>62322.27</v>
      </c>
      <c r="M49" s="64">
        <v>364.84</v>
      </c>
      <c r="N49" s="66">
        <v>3648400</v>
      </c>
      <c r="O49" s="66">
        <v>43227.48</v>
      </c>
      <c r="P49" s="69">
        <v>1.62698096955828</v>
      </c>
      <c r="Q49" s="66">
        <v>0</v>
      </c>
      <c r="R49" s="66">
        <v>0</v>
      </c>
      <c r="S49" s="66">
        <v>0</v>
      </c>
      <c r="T49" s="66">
        <v>0</v>
      </c>
      <c r="U49" s="66">
        <v>62322.27</v>
      </c>
      <c r="V49" s="66">
        <v>0</v>
      </c>
      <c r="X49" s="66">
        <v>-1611600</v>
      </c>
      <c r="Y49" s="66">
        <v>-19094.79</v>
      </c>
      <c r="Z49" s="66">
        <v>0</v>
      </c>
      <c r="AA49" s="66">
        <v>0</v>
      </c>
      <c r="AB49" s="66">
        <v>0</v>
      </c>
      <c r="AC49" s="66">
        <v>0</v>
      </c>
      <c r="AD49" s="66">
        <v>0</v>
      </c>
    </row>
    <row r="50" spans="1:30">
      <c r="K50" s="106">
        <f>H49*I49</f>
        <v>5260000</v>
      </c>
      <c r="L50" s="107">
        <f>K49*R55</f>
        <v>62322.268400000001</v>
      </c>
      <c r="N50" s="106">
        <f>H49*M49</f>
        <v>3648399.9999999995</v>
      </c>
      <c r="O50" s="107">
        <f>N49*R55</f>
        <v>43227.483656000004</v>
      </c>
      <c r="X50" s="106">
        <f>N50-K50</f>
        <v>-1611600.0000000005</v>
      </c>
      <c r="Y50" s="107">
        <f>O49-L49</f>
        <v>-19094.789999999994</v>
      </c>
    </row>
    <row r="52" spans="1:30">
      <c r="A52" s="137" t="s">
        <v>123</v>
      </c>
    </row>
    <row r="54" spans="1:30" s="6" customFormat="1">
      <c r="A54" s="96" t="s">
        <v>124</v>
      </c>
      <c r="B54" s="96" t="s">
        <v>125</v>
      </c>
      <c r="C54" s="96" t="s">
        <v>126</v>
      </c>
      <c r="D54" s="96" t="s">
        <v>127</v>
      </c>
      <c r="E54" s="96" t="s">
        <v>128</v>
      </c>
      <c r="F54" s="96" t="s">
        <v>129</v>
      </c>
      <c r="G54" s="96" t="s">
        <v>130</v>
      </c>
      <c r="H54" s="96" t="s">
        <v>131</v>
      </c>
      <c r="I54" s="96" t="s">
        <v>132</v>
      </c>
      <c r="J54" s="96" t="s">
        <v>133</v>
      </c>
      <c r="K54" s="96" t="s">
        <v>134</v>
      </c>
      <c r="L54" s="96" t="s">
        <v>135</v>
      </c>
      <c r="M54" s="96" t="s">
        <v>136</v>
      </c>
      <c r="N54" s="96" t="s">
        <v>137</v>
      </c>
      <c r="O54" s="96" t="s">
        <v>138</v>
      </c>
      <c r="P54" s="96" t="s">
        <v>139</v>
      </c>
      <c r="Q54" s="96" t="s">
        <v>140</v>
      </c>
      <c r="R54" s="96" t="s">
        <v>141</v>
      </c>
      <c r="S54" s="96" t="s">
        <v>142</v>
      </c>
      <c r="T54" s="96" t="s">
        <v>143</v>
      </c>
      <c r="U54" s="96" t="s">
        <v>92</v>
      </c>
      <c r="V54" s="96" t="s">
        <v>144</v>
      </c>
      <c r="W54" s="96" t="s">
        <v>145</v>
      </c>
      <c r="X54" s="96" t="s">
        <v>146</v>
      </c>
      <c r="Y54" s="96" t="s">
        <v>147</v>
      </c>
      <c r="Z54" s="96" t="s">
        <v>148</v>
      </c>
      <c r="AA54" s="96" t="s">
        <v>149</v>
      </c>
      <c r="AB54" s="96" t="s">
        <v>150</v>
      </c>
      <c r="AC54" s="96" t="s">
        <v>151</v>
      </c>
      <c r="AD54" s="96" t="s">
        <v>152</v>
      </c>
    </row>
    <row r="55" spans="1:30" s="6" customFormat="1">
      <c r="A55" s="6" t="s">
        <v>73</v>
      </c>
      <c r="B55" s="6" t="s">
        <v>153</v>
      </c>
      <c r="C55" s="6" t="s">
        <v>154</v>
      </c>
      <c r="D55" s="6" t="s">
        <v>154</v>
      </c>
      <c r="E55" s="6" t="s">
        <v>155</v>
      </c>
      <c r="F55" s="6" t="s">
        <v>156</v>
      </c>
      <c r="G55" s="6" t="s">
        <v>157</v>
      </c>
      <c r="H55" s="6" t="s">
        <v>158</v>
      </c>
      <c r="I55" s="6" t="s">
        <v>159</v>
      </c>
      <c r="J55" s="6" t="s">
        <v>160</v>
      </c>
      <c r="K55" s="6" t="s">
        <v>161</v>
      </c>
      <c r="L55" s="6" t="s">
        <v>162</v>
      </c>
      <c r="M55" s="6" t="s">
        <v>160</v>
      </c>
      <c r="N55" s="6" t="s">
        <v>78</v>
      </c>
      <c r="O55" s="6" t="s">
        <v>163</v>
      </c>
      <c r="P55" s="67">
        <v>3400</v>
      </c>
      <c r="Q55" s="67">
        <v>40.28</v>
      </c>
      <c r="R55" s="6">
        <v>1.1848340000000001E-2</v>
      </c>
      <c r="S55" s="6" t="s">
        <v>164</v>
      </c>
      <c r="T55" s="108">
        <f t="shared" ref="T55:T62" si="0">P55*R55</f>
        <v>40.284356000000002</v>
      </c>
      <c r="U55" s="6" t="s">
        <v>76</v>
      </c>
      <c r="V55" s="6" t="s">
        <v>80</v>
      </c>
      <c r="W55" s="6" t="s">
        <v>85</v>
      </c>
      <c r="X55" s="6" t="s">
        <v>81</v>
      </c>
      <c r="Y55" s="6" t="s">
        <v>153</v>
      </c>
      <c r="Z55" s="6" t="s">
        <v>165</v>
      </c>
      <c r="AA55" s="6" t="s">
        <v>166</v>
      </c>
      <c r="AB55" s="6" t="s">
        <v>166</v>
      </c>
      <c r="AC55" s="6" t="s">
        <v>79</v>
      </c>
      <c r="AD55" s="6" t="s">
        <v>167</v>
      </c>
    </row>
    <row r="56" spans="1:30" s="6" customFormat="1">
      <c r="A56" s="6" t="s">
        <v>73</v>
      </c>
      <c r="B56" s="6" t="s">
        <v>153</v>
      </c>
      <c r="C56" s="6" t="s">
        <v>154</v>
      </c>
      <c r="D56" s="6" t="s">
        <v>154</v>
      </c>
      <c r="E56" s="6" t="s">
        <v>168</v>
      </c>
      <c r="F56" s="6" t="s">
        <v>156</v>
      </c>
      <c r="G56" s="6" t="s">
        <v>157</v>
      </c>
      <c r="H56" s="6" t="s">
        <v>169</v>
      </c>
      <c r="I56" s="6" t="s">
        <v>170</v>
      </c>
      <c r="J56" s="6" t="s">
        <v>171</v>
      </c>
      <c r="K56" s="6" t="s">
        <v>172</v>
      </c>
      <c r="L56" s="6" t="s">
        <v>173</v>
      </c>
      <c r="M56" s="6" t="s">
        <v>171</v>
      </c>
      <c r="N56" s="6" t="s">
        <v>78</v>
      </c>
      <c r="O56" s="6" t="s">
        <v>174</v>
      </c>
      <c r="P56" s="67">
        <v>-3400</v>
      </c>
      <c r="Q56" s="67">
        <v>-40.28</v>
      </c>
      <c r="R56" s="6">
        <v>1.1848340000000001E-2</v>
      </c>
      <c r="S56" s="6" t="s">
        <v>164</v>
      </c>
      <c r="T56" s="108">
        <f t="shared" si="0"/>
        <v>-40.284356000000002</v>
      </c>
      <c r="U56" s="6" t="s">
        <v>76</v>
      </c>
      <c r="V56" s="6" t="s">
        <v>80</v>
      </c>
      <c r="W56" s="6" t="s">
        <v>85</v>
      </c>
      <c r="X56" s="6" t="s">
        <v>81</v>
      </c>
      <c r="Y56" s="6" t="s">
        <v>153</v>
      </c>
      <c r="Z56" s="6" t="s">
        <v>175</v>
      </c>
      <c r="AA56" s="6" t="s">
        <v>166</v>
      </c>
      <c r="AB56" s="6" t="s">
        <v>166</v>
      </c>
      <c r="AC56" s="6" t="s">
        <v>79</v>
      </c>
      <c r="AD56" s="6" t="s">
        <v>167</v>
      </c>
    </row>
    <row r="57" spans="1:30" s="6" customFormat="1">
      <c r="A57" s="6" t="s">
        <v>73</v>
      </c>
      <c r="B57" s="6" t="s">
        <v>153</v>
      </c>
      <c r="C57" s="6" t="s">
        <v>154</v>
      </c>
      <c r="D57" s="6" t="s">
        <v>154</v>
      </c>
      <c r="E57" s="6" t="s">
        <v>176</v>
      </c>
      <c r="F57" s="6" t="s">
        <v>156</v>
      </c>
      <c r="G57" s="6" t="s">
        <v>157</v>
      </c>
      <c r="H57" s="6" t="s">
        <v>158</v>
      </c>
      <c r="I57" s="6" t="s">
        <v>177</v>
      </c>
      <c r="J57" s="6" t="s">
        <v>178</v>
      </c>
      <c r="K57" s="6" t="s">
        <v>179</v>
      </c>
      <c r="L57" s="6" t="s">
        <v>180</v>
      </c>
      <c r="M57" s="6" t="s">
        <v>178</v>
      </c>
      <c r="N57" s="6" t="s">
        <v>78</v>
      </c>
      <c r="O57" s="6" t="s">
        <v>163</v>
      </c>
      <c r="P57" s="67">
        <v>1788400</v>
      </c>
      <c r="Q57" s="67">
        <v>21189.57</v>
      </c>
      <c r="R57" s="6">
        <v>1.1848340000000001E-2</v>
      </c>
      <c r="S57" s="6" t="s">
        <v>164</v>
      </c>
      <c r="T57" s="108">
        <f t="shared" si="0"/>
        <v>21189.571256000003</v>
      </c>
      <c r="U57" s="6" t="s">
        <v>76</v>
      </c>
      <c r="V57" s="6" t="s">
        <v>80</v>
      </c>
      <c r="W57" s="6" t="s">
        <v>85</v>
      </c>
      <c r="X57" s="6" t="s">
        <v>81</v>
      </c>
      <c r="Y57" s="6" t="s">
        <v>153</v>
      </c>
      <c r="Z57" s="6" t="s">
        <v>181</v>
      </c>
      <c r="AA57" s="6" t="s">
        <v>166</v>
      </c>
      <c r="AB57" s="6" t="s">
        <v>166</v>
      </c>
      <c r="AC57" s="6" t="s">
        <v>79</v>
      </c>
      <c r="AD57" s="6" t="s">
        <v>167</v>
      </c>
    </row>
    <row r="58" spans="1:30" s="6" customFormat="1">
      <c r="A58" s="6" t="s">
        <v>73</v>
      </c>
      <c r="B58" s="6" t="s">
        <v>153</v>
      </c>
      <c r="C58" s="6" t="s">
        <v>154</v>
      </c>
      <c r="D58" s="6" t="s">
        <v>154</v>
      </c>
      <c r="E58" s="6" t="s">
        <v>182</v>
      </c>
      <c r="F58" s="6" t="s">
        <v>156</v>
      </c>
      <c r="G58" s="6" t="s">
        <v>157</v>
      </c>
      <c r="H58" s="6" t="s">
        <v>183</v>
      </c>
      <c r="I58" s="6" t="s">
        <v>184</v>
      </c>
      <c r="J58" s="6" t="s">
        <v>185</v>
      </c>
      <c r="K58" s="6" t="s">
        <v>186</v>
      </c>
      <c r="L58" s="6" t="s">
        <v>187</v>
      </c>
      <c r="M58" s="6" t="s">
        <v>185</v>
      </c>
      <c r="N58" s="6" t="s">
        <v>78</v>
      </c>
      <c r="O58" s="6" t="s">
        <v>174</v>
      </c>
      <c r="P58" s="67">
        <v>-1788400</v>
      </c>
      <c r="Q58" s="67">
        <v>-21189.57</v>
      </c>
      <c r="R58" s="6">
        <v>1.1848340000000001E-2</v>
      </c>
      <c r="S58" s="6" t="s">
        <v>164</v>
      </c>
      <c r="T58" s="108">
        <f t="shared" si="0"/>
        <v>-21189.571256000003</v>
      </c>
      <c r="U58" s="6" t="s">
        <v>76</v>
      </c>
      <c r="V58" s="6" t="s">
        <v>80</v>
      </c>
      <c r="W58" s="6" t="s">
        <v>85</v>
      </c>
      <c r="X58" s="6" t="s">
        <v>81</v>
      </c>
      <c r="Y58" s="6" t="s">
        <v>153</v>
      </c>
      <c r="Z58" s="6" t="s">
        <v>181</v>
      </c>
      <c r="AA58" s="6" t="s">
        <v>166</v>
      </c>
      <c r="AB58" s="6" t="s">
        <v>166</v>
      </c>
      <c r="AC58" s="6" t="s">
        <v>79</v>
      </c>
      <c r="AD58" s="6" t="s">
        <v>167</v>
      </c>
    </row>
    <row r="59" spans="1:30" s="6" customFormat="1">
      <c r="A59" s="6" t="s">
        <v>73</v>
      </c>
      <c r="B59" s="6" t="s">
        <v>153</v>
      </c>
      <c r="C59" s="6" t="s">
        <v>154</v>
      </c>
      <c r="D59" s="6" t="s">
        <v>154</v>
      </c>
      <c r="E59" s="6" t="s">
        <v>188</v>
      </c>
      <c r="F59" s="6" t="s">
        <v>189</v>
      </c>
      <c r="G59" s="6" t="s">
        <v>157</v>
      </c>
      <c r="H59" s="6" t="s">
        <v>158</v>
      </c>
      <c r="I59" s="6" t="s">
        <v>159</v>
      </c>
      <c r="J59" s="6" t="s">
        <v>160</v>
      </c>
      <c r="K59" s="6" t="s">
        <v>161</v>
      </c>
      <c r="L59" s="6" t="s">
        <v>162</v>
      </c>
      <c r="M59" s="6" t="s">
        <v>160</v>
      </c>
      <c r="N59" s="6" t="s">
        <v>78</v>
      </c>
      <c r="O59" s="6" t="s">
        <v>163</v>
      </c>
      <c r="P59" s="67">
        <v>6600</v>
      </c>
      <c r="Q59" s="67">
        <v>78.2</v>
      </c>
      <c r="R59" s="6">
        <v>1.1848340000000001E-2</v>
      </c>
      <c r="S59" s="6" t="s">
        <v>164</v>
      </c>
      <c r="T59" s="108">
        <f t="shared" si="0"/>
        <v>78.199044000000001</v>
      </c>
      <c r="U59" s="6" t="s">
        <v>76</v>
      </c>
      <c r="V59" s="6" t="s">
        <v>80</v>
      </c>
      <c r="W59" s="6" t="s">
        <v>85</v>
      </c>
      <c r="X59" s="6" t="s">
        <v>81</v>
      </c>
      <c r="Y59" s="6" t="s">
        <v>153</v>
      </c>
      <c r="Z59" s="6" t="s">
        <v>190</v>
      </c>
      <c r="AA59" s="6" t="s">
        <v>166</v>
      </c>
      <c r="AB59" s="6" t="s">
        <v>166</v>
      </c>
      <c r="AC59" s="6" t="s">
        <v>79</v>
      </c>
      <c r="AD59" s="6" t="s">
        <v>191</v>
      </c>
    </row>
    <row r="60" spans="1:30" s="6" customFormat="1">
      <c r="A60" s="6" t="s">
        <v>73</v>
      </c>
      <c r="B60" s="6" t="s">
        <v>153</v>
      </c>
      <c r="C60" s="6" t="s">
        <v>154</v>
      </c>
      <c r="D60" s="6" t="s">
        <v>154</v>
      </c>
      <c r="E60" s="6" t="s">
        <v>192</v>
      </c>
      <c r="F60" s="6" t="s">
        <v>189</v>
      </c>
      <c r="G60" s="6" t="s">
        <v>157</v>
      </c>
      <c r="H60" s="6" t="s">
        <v>169</v>
      </c>
      <c r="I60" s="6" t="s">
        <v>170</v>
      </c>
      <c r="J60" s="6" t="s">
        <v>171</v>
      </c>
      <c r="K60" s="6" t="s">
        <v>172</v>
      </c>
      <c r="L60" s="6" t="s">
        <v>173</v>
      </c>
      <c r="M60" s="6" t="s">
        <v>171</v>
      </c>
      <c r="N60" s="6" t="s">
        <v>78</v>
      </c>
      <c r="O60" s="6" t="s">
        <v>174</v>
      </c>
      <c r="P60" s="67">
        <v>-6600</v>
      </c>
      <c r="Q60" s="67">
        <v>-78.2</v>
      </c>
      <c r="R60" s="6">
        <v>1.1848340000000001E-2</v>
      </c>
      <c r="S60" s="6" t="s">
        <v>164</v>
      </c>
      <c r="T60" s="108">
        <f t="shared" si="0"/>
        <v>-78.199044000000001</v>
      </c>
      <c r="U60" s="6" t="s">
        <v>76</v>
      </c>
      <c r="V60" s="6" t="s">
        <v>80</v>
      </c>
      <c r="W60" s="6" t="s">
        <v>85</v>
      </c>
      <c r="X60" s="6" t="s">
        <v>81</v>
      </c>
      <c r="Y60" s="6" t="s">
        <v>153</v>
      </c>
      <c r="Z60" s="6" t="s">
        <v>193</v>
      </c>
      <c r="AA60" s="6" t="s">
        <v>166</v>
      </c>
      <c r="AB60" s="6" t="s">
        <v>166</v>
      </c>
      <c r="AC60" s="6" t="s">
        <v>79</v>
      </c>
      <c r="AD60" s="6" t="s">
        <v>191</v>
      </c>
    </row>
    <row r="61" spans="1:30" s="6" customFormat="1">
      <c r="A61" s="6" t="s">
        <v>73</v>
      </c>
      <c r="B61" s="6" t="s">
        <v>153</v>
      </c>
      <c r="C61" s="6" t="s">
        <v>154</v>
      </c>
      <c r="D61" s="6" t="s">
        <v>154</v>
      </c>
      <c r="E61" s="6" t="s">
        <v>194</v>
      </c>
      <c r="F61" s="6" t="s">
        <v>189</v>
      </c>
      <c r="G61" s="6" t="s">
        <v>157</v>
      </c>
      <c r="H61" s="6" t="s">
        <v>158</v>
      </c>
      <c r="I61" s="6" t="s">
        <v>177</v>
      </c>
      <c r="J61" s="6" t="s">
        <v>178</v>
      </c>
      <c r="K61" s="6" t="s">
        <v>179</v>
      </c>
      <c r="L61" s="6" t="s">
        <v>180</v>
      </c>
      <c r="M61" s="6" t="s">
        <v>178</v>
      </c>
      <c r="N61" s="6" t="s">
        <v>78</v>
      </c>
      <c r="O61" s="6" t="s">
        <v>163</v>
      </c>
      <c r="P61" s="67">
        <v>3471600</v>
      </c>
      <c r="Q61" s="67">
        <v>41132.699999999997</v>
      </c>
      <c r="R61" s="6">
        <v>1.1848340000000001E-2</v>
      </c>
      <c r="S61" s="6" t="s">
        <v>164</v>
      </c>
      <c r="T61" s="108">
        <f t="shared" si="0"/>
        <v>41132.697144000005</v>
      </c>
      <c r="U61" s="6" t="s">
        <v>76</v>
      </c>
      <c r="V61" s="6" t="s">
        <v>80</v>
      </c>
      <c r="W61" s="6" t="s">
        <v>85</v>
      </c>
      <c r="X61" s="6" t="s">
        <v>81</v>
      </c>
      <c r="Y61" s="6" t="s">
        <v>153</v>
      </c>
      <c r="Z61" s="6" t="s">
        <v>195</v>
      </c>
      <c r="AA61" s="6" t="s">
        <v>166</v>
      </c>
      <c r="AB61" s="6" t="s">
        <v>166</v>
      </c>
      <c r="AC61" s="6" t="s">
        <v>79</v>
      </c>
      <c r="AD61" s="6" t="s">
        <v>191</v>
      </c>
    </row>
    <row r="62" spans="1:30" s="6" customFormat="1">
      <c r="A62" s="6" t="s">
        <v>73</v>
      </c>
      <c r="B62" s="6" t="s">
        <v>153</v>
      </c>
      <c r="C62" s="6" t="s">
        <v>154</v>
      </c>
      <c r="D62" s="6" t="s">
        <v>154</v>
      </c>
      <c r="E62" s="6" t="s">
        <v>196</v>
      </c>
      <c r="F62" s="6" t="s">
        <v>189</v>
      </c>
      <c r="G62" s="6" t="s">
        <v>157</v>
      </c>
      <c r="H62" s="6" t="s">
        <v>183</v>
      </c>
      <c r="I62" s="6" t="s">
        <v>184</v>
      </c>
      <c r="J62" s="6" t="s">
        <v>185</v>
      </c>
      <c r="K62" s="6" t="s">
        <v>186</v>
      </c>
      <c r="L62" s="6" t="s">
        <v>187</v>
      </c>
      <c r="M62" s="6" t="s">
        <v>185</v>
      </c>
      <c r="N62" s="6" t="s">
        <v>78</v>
      </c>
      <c r="O62" s="6" t="s">
        <v>174</v>
      </c>
      <c r="P62" s="67">
        <v>-3471600</v>
      </c>
      <c r="Q62" s="67">
        <v>-41132.699999999997</v>
      </c>
      <c r="R62" s="6">
        <v>1.1848340000000001E-2</v>
      </c>
      <c r="S62" s="6" t="s">
        <v>164</v>
      </c>
      <c r="T62" s="108">
        <f t="shared" si="0"/>
        <v>-41132.697144000005</v>
      </c>
      <c r="U62" s="6" t="s">
        <v>76</v>
      </c>
      <c r="V62" s="6" t="s">
        <v>80</v>
      </c>
      <c r="W62" s="6" t="s">
        <v>85</v>
      </c>
      <c r="X62" s="6" t="s">
        <v>81</v>
      </c>
      <c r="Y62" s="6" t="s">
        <v>153</v>
      </c>
      <c r="Z62" s="6" t="s">
        <v>195</v>
      </c>
      <c r="AA62" s="6" t="s">
        <v>166</v>
      </c>
      <c r="AB62" s="6" t="s">
        <v>166</v>
      </c>
      <c r="AC62" s="6" t="s">
        <v>79</v>
      </c>
      <c r="AD62" s="6" t="s">
        <v>191</v>
      </c>
    </row>
    <row r="64" spans="1:30">
      <c r="P64" s="81">
        <f>O2*P2+6600</f>
        <v>3471600</v>
      </c>
    </row>
    <row r="65" spans="1:46">
      <c r="P65" s="81">
        <f>O3*P3+AT3</f>
        <v>1788400</v>
      </c>
    </row>
    <row r="68" spans="1:46">
      <c r="A68" s="137" t="s">
        <v>197</v>
      </c>
    </row>
    <row r="70" spans="1:46" s="6" customFormat="1" ht="32" customHeight="1">
      <c r="A70" s="46" t="s">
        <v>124</v>
      </c>
      <c r="B70" s="46" t="s">
        <v>198</v>
      </c>
      <c r="C70" s="46" t="s">
        <v>199</v>
      </c>
      <c r="D70" s="46" t="s">
        <v>200</v>
      </c>
      <c r="E70" s="46" t="s">
        <v>127</v>
      </c>
      <c r="F70" s="46" t="s">
        <v>201</v>
      </c>
      <c r="G70" s="46" t="s">
        <v>202</v>
      </c>
      <c r="H70" s="46" t="s">
        <v>203</v>
      </c>
      <c r="I70" s="46" t="s">
        <v>92</v>
      </c>
      <c r="J70" s="46" t="s">
        <v>204</v>
      </c>
      <c r="K70" s="58" t="s">
        <v>100</v>
      </c>
      <c r="L70" s="46" t="s">
        <v>142</v>
      </c>
      <c r="M70" s="121" t="s">
        <v>205</v>
      </c>
      <c r="N70" s="121"/>
      <c r="O70" s="121" t="s">
        <v>113</v>
      </c>
      <c r="P70" s="121"/>
      <c r="Q70" s="121" t="s">
        <v>146</v>
      </c>
      <c r="R70" s="121"/>
      <c r="S70" s="121" t="s">
        <v>206</v>
      </c>
      <c r="T70" s="121"/>
      <c r="U70" s="46" t="s">
        <v>207</v>
      </c>
      <c r="V70" s="46" t="s">
        <v>208</v>
      </c>
      <c r="W70" s="46" t="s">
        <v>209</v>
      </c>
      <c r="X70" s="122" t="s">
        <v>98</v>
      </c>
      <c r="Y70" s="122"/>
      <c r="Z70" s="122" t="s">
        <v>210</v>
      </c>
      <c r="AA70" s="122"/>
      <c r="AB70" s="122" t="s">
        <v>211</v>
      </c>
      <c r="AC70" s="122"/>
      <c r="AD70" s="58" t="s">
        <v>212</v>
      </c>
      <c r="AE70" s="58" t="s">
        <v>213</v>
      </c>
      <c r="AF70" s="58" t="s">
        <v>214</v>
      </c>
      <c r="AG70" s="58" t="s">
        <v>215</v>
      </c>
      <c r="AH70" s="58" t="s">
        <v>216</v>
      </c>
      <c r="AI70" s="58" t="s">
        <v>217</v>
      </c>
      <c r="AJ70" s="58" t="s">
        <v>218</v>
      </c>
      <c r="AK70" s="58" t="s">
        <v>219</v>
      </c>
      <c r="AL70" s="58" t="s">
        <v>220</v>
      </c>
      <c r="AM70" s="58" t="s">
        <v>221</v>
      </c>
      <c r="AN70" s="58" t="s">
        <v>222</v>
      </c>
      <c r="AO70" s="73" t="s">
        <v>223</v>
      </c>
      <c r="AP70" s="74"/>
      <c r="AQ70" s="122" t="s">
        <v>224</v>
      </c>
      <c r="AR70" s="122"/>
      <c r="AS70" s="75" t="s">
        <v>225</v>
      </c>
    </row>
    <row r="71" spans="1:46" s="6" customFormat="1" ht="27" customHeight="1">
      <c r="A71" s="47" t="s">
        <v>73</v>
      </c>
      <c r="B71" s="47" t="s">
        <v>226</v>
      </c>
      <c r="C71" s="47" t="s">
        <v>227</v>
      </c>
      <c r="D71" s="47" t="s">
        <v>228</v>
      </c>
      <c r="E71" s="48">
        <v>45626</v>
      </c>
      <c r="F71" s="48">
        <v>45626</v>
      </c>
      <c r="G71" s="47" t="s">
        <v>189</v>
      </c>
      <c r="H71" s="47" t="s">
        <v>85</v>
      </c>
      <c r="I71" s="47" t="s">
        <v>76</v>
      </c>
      <c r="J71" s="47" t="s">
        <v>229</v>
      </c>
      <c r="K71" s="59">
        <v>525</v>
      </c>
      <c r="L71" s="60" t="s">
        <v>164</v>
      </c>
      <c r="N71" s="123" t="s">
        <v>230</v>
      </c>
      <c r="O71" s="123"/>
      <c r="P71" s="123" t="s">
        <v>82</v>
      </c>
      <c r="Q71" s="123"/>
      <c r="R71" s="123" t="s">
        <v>81</v>
      </c>
      <c r="S71" s="123"/>
      <c r="T71" s="124" t="s">
        <v>231</v>
      </c>
      <c r="U71" s="124"/>
      <c r="Y71" s="125">
        <v>6600</v>
      </c>
      <c r="Z71" s="125"/>
      <c r="AA71" s="126">
        <v>525</v>
      </c>
      <c r="AB71" s="126"/>
      <c r="AC71" s="59">
        <v>41054.5</v>
      </c>
      <c r="AD71" s="59" t="s">
        <v>232</v>
      </c>
      <c r="AE71" s="59">
        <v>78.2</v>
      </c>
      <c r="AF71" s="70">
        <v>0.19047851027293</v>
      </c>
      <c r="AG71" s="59">
        <v>78.2</v>
      </c>
      <c r="AH71" s="59">
        <v>0</v>
      </c>
      <c r="AI71" s="59">
        <v>0</v>
      </c>
      <c r="AJ71" s="59">
        <v>3471600</v>
      </c>
      <c r="AK71" s="59">
        <v>41132.699999999997</v>
      </c>
      <c r="AL71" s="59">
        <v>3471600</v>
      </c>
      <c r="AM71" s="59">
        <v>41132.699999999997</v>
      </c>
      <c r="AN71" s="59">
        <v>0</v>
      </c>
      <c r="AO71" s="59">
        <v>0</v>
      </c>
      <c r="AQ71" s="125">
        <v>0</v>
      </c>
      <c r="AR71" s="125"/>
      <c r="AS71" s="59">
        <v>0</v>
      </c>
    </row>
    <row r="72" spans="1:46" s="6" customFormat="1" ht="27" customHeight="1">
      <c r="A72" s="110" t="s">
        <v>73</v>
      </c>
      <c r="B72" s="110" t="s">
        <v>226</v>
      </c>
      <c r="C72" s="110" t="s">
        <v>227</v>
      </c>
      <c r="D72" s="110" t="s">
        <v>228</v>
      </c>
      <c r="E72" s="111">
        <v>45626</v>
      </c>
      <c r="F72" s="111">
        <v>45627</v>
      </c>
      <c r="G72" s="110" t="s">
        <v>156</v>
      </c>
      <c r="H72" s="110" t="s">
        <v>85</v>
      </c>
      <c r="I72" s="110" t="s">
        <v>76</v>
      </c>
      <c r="J72" s="110" t="s">
        <v>229</v>
      </c>
      <c r="K72" s="112">
        <v>525</v>
      </c>
      <c r="L72" s="113" t="s">
        <v>164</v>
      </c>
      <c r="M72" s="74"/>
      <c r="N72" s="127" t="s">
        <v>230</v>
      </c>
      <c r="O72" s="127"/>
      <c r="P72" s="127" t="s">
        <v>82</v>
      </c>
      <c r="Q72" s="127"/>
      <c r="R72" s="127" t="s">
        <v>81</v>
      </c>
      <c r="S72" s="127"/>
      <c r="T72" s="128" t="s">
        <v>231</v>
      </c>
      <c r="U72" s="128"/>
      <c r="V72" s="74"/>
      <c r="W72" s="74"/>
      <c r="X72" s="74"/>
      <c r="Y72" s="129">
        <v>3400</v>
      </c>
      <c r="Z72" s="129"/>
      <c r="AA72" s="130">
        <v>525</v>
      </c>
      <c r="AB72" s="130"/>
      <c r="AC72" s="112">
        <v>21149.29</v>
      </c>
      <c r="AD72" s="112" t="s">
        <v>232</v>
      </c>
      <c r="AE72" s="112">
        <v>40.28</v>
      </c>
      <c r="AF72" s="114">
        <v>0.190455566120659</v>
      </c>
      <c r="AG72" s="112">
        <v>40.28</v>
      </c>
      <c r="AH72" s="112">
        <v>0</v>
      </c>
      <c r="AI72" s="112">
        <v>0</v>
      </c>
      <c r="AJ72" s="112">
        <v>1788400</v>
      </c>
      <c r="AK72" s="112">
        <v>21189.57</v>
      </c>
      <c r="AL72" s="112">
        <v>1788400</v>
      </c>
      <c r="AM72" s="112">
        <v>21189.57</v>
      </c>
      <c r="AN72" s="112">
        <v>0</v>
      </c>
      <c r="AO72" s="112">
        <v>0</v>
      </c>
      <c r="AP72" s="74"/>
      <c r="AQ72" s="129">
        <v>0</v>
      </c>
      <c r="AR72" s="129"/>
      <c r="AS72" s="112">
        <v>0</v>
      </c>
      <c r="AT72" s="74"/>
    </row>
    <row r="73" spans="1:46">
      <c r="AC73" s="107">
        <f>Y71*AA71*R55</f>
        <v>41054.498100000004</v>
      </c>
    </row>
    <row r="74" spans="1:46">
      <c r="AC74" s="107">
        <f>Y72*AA72*R56</f>
        <v>21149.286900000003</v>
      </c>
    </row>
    <row r="76" spans="1:46">
      <c r="A76" s="137" t="s">
        <v>233</v>
      </c>
    </row>
    <row r="87" spans="1:14">
      <c r="N87" s="107"/>
    </row>
    <row r="95" spans="1:14">
      <c r="A95" s="137" t="s">
        <v>90</v>
      </c>
    </row>
    <row r="97" spans="1:31" s="7" customFormat="1" ht="30" customHeight="1">
      <c r="A97" s="68" t="s">
        <v>91</v>
      </c>
      <c r="B97" s="68" t="s">
        <v>92</v>
      </c>
      <c r="C97" s="68" t="s">
        <v>93</v>
      </c>
      <c r="D97" s="68" t="s">
        <v>94</v>
      </c>
      <c r="E97" s="68" t="s">
        <v>95</v>
      </c>
      <c r="F97" s="68" t="s">
        <v>96</v>
      </c>
      <c r="G97" s="68" t="s">
        <v>97</v>
      </c>
      <c r="H97" s="101" t="s">
        <v>98</v>
      </c>
      <c r="I97" s="101" t="s">
        <v>99</v>
      </c>
      <c r="J97" s="101" t="s">
        <v>100</v>
      </c>
      <c r="K97" s="101" t="s">
        <v>101</v>
      </c>
      <c r="L97" s="101" t="s">
        <v>102</v>
      </c>
      <c r="M97" s="101" t="s">
        <v>103</v>
      </c>
      <c r="N97" s="68" t="s">
        <v>104</v>
      </c>
      <c r="O97" s="101" t="s">
        <v>105</v>
      </c>
      <c r="P97" s="101" t="s">
        <v>106</v>
      </c>
      <c r="Q97" s="68" t="s">
        <v>107</v>
      </c>
      <c r="R97" s="68" t="s">
        <v>108</v>
      </c>
      <c r="S97" s="68" t="s">
        <v>109</v>
      </c>
      <c r="T97" s="68" t="s">
        <v>110</v>
      </c>
      <c r="U97" s="68" t="s">
        <v>111</v>
      </c>
      <c r="V97" s="68" t="s">
        <v>112</v>
      </c>
      <c r="W97" s="101" t="s">
        <v>113</v>
      </c>
      <c r="X97" s="68" t="s">
        <v>114</v>
      </c>
      <c r="Y97" s="68" t="s">
        <v>115</v>
      </c>
      <c r="Z97" s="68" t="s">
        <v>116</v>
      </c>
      <c r="AA97" s="68" t="s">
        <v>117</v>
      </c>
      <c r="AB97" s="68" t="s">
        <v>118</v>
      </c>
      <c r="AC97" s="68" t="s">
        <v>119</v>
      </c>
      <c r="AD97" s="68" t="s">
        <v>120</v>
      </c>
      <c r="AE97" s="104" t="s">
        <v>121</v>
      </c>
    </row>
    <row r="98" spans="1:31" s="7" customFormat="1" ht="21.5" customHeight="1">
      <c r="B98" s="51" t="s">
        <v>76</v>
      </c>
      <c r="C98" s="51" t="s">
        <v>122</v>
      </c>
      <c r="E98" s="51" t="s">
        <v>78</v>
      </c>
      <c r="G98" s="55">
        <v>45832</v>
      </c>
      <c r="H98" s="63">
        <v>10000</v>
      </c>
      <c r="I98" s="64">
        <v>526</v>
      </c>
      <c r="J98" s="65">
        <v>525</v>
      </c>
      <c r="K98" s="66">
        <v>5260000</v>
      </c>
      <c r="L98" s="66">
        <v>62322.27</v>
      </c>
      <c r="M98" s="64">
        <v>575</v>
      </c>
      <c r="N98" s="66">
        <v>5750000</v>
      </c>
      <c r="O98" s="66">
        <v>68127.960000000006</v>
      </c>
      <c r="P98" s="69">
        <v>2.5546512885388299</v>
      </c>
      <c r="Q98" s="66">
        <v>0</v>
      </c>
      <c r="R98" s="66">
        <v>0</v>
      </c>
      <c r="S98" s="66">
        <v>0</v>
      </c>
      <c r="T98" s="66">
        <v>0</v>
      </c>
      <c r="U98" s="66">
        <v>62322.27</v>
      </c>
      <c r="V98" s="66">
        <v>0</v>
      </c>
      <c r="W98" s="65">
        <v>1.1848340000000001E-2</v>
      </c>
      <c r="X98" s="66">
        <v>490000</v>
      </c>
      <c r="Y98" s="66">
        <v>5805.69</v>
      </c>
      <c r="Z98" s="66">
        <v>0</v>
      </c>
      <c r="AA98" s="66">
        <v>0</v>
      </c>
      <c r="AB98" s="66">
        <v>0</v>
      </c>
      <c r="AC98" s="66">
        <v>490000</v>
      </c>
      <c r="AD98" s="66">
        <v>5805.69</v>
      </c>
      <c r="AE98" s="72">
        <v>45626</v>
      </c>
    </row>
    <row r="99" spans="1:31" s="7" customFormat="1" ht="21.5" customHeight="1">
      <c r="B99" s="51"/>
      <c r="C99" s="51"/>
      <c r="E99" s="51"/>
      <c r="G99" s="55"/>
      <c r="H99" s="63"/>
      <c r="I99" s="64"/>
      <c r="J99" s="65"/>
      <c r="K99" s="66">
        <f>H98*I98</f>
        <v>5260000</v>
      </c>
      <c r="L99" s="66">
        <f>K98*R104</f>
        <v>62322.268400000001</v>
      </c>
      <c r="M99" s="64"/>
      <c r="N99" s="66">
        <f>H98*M98</f>
        <v>5750000</v>
      </c>
      <c r="O99" s="66">
        <f>N98*R104</f>
        <v>68127.955000000002</v>
      </c>
      <c r="P99" s="69"/>
      <c r="Q99" s="66"/>
      <c r="R99" s="66"/>
      <c r="S99" s="66"/>
      <c r="T99" s="66"/>
      <c r="U99" s="66"/>
      <c r="V99" s="66"/>
      <c r="W99" s="65"/>
      <c r="X99" s="66">
        <f>N98-K98</f>
        <v>490000</v>
      </c>
      <c r="Y99" s="66">
        <f>O98-L98</f>
        <v>5805.6900000000096</v>
      </c>
      <c r="Z99" s="66"/>
      <c r="AA99" s="66"/>
      <c r="AB99" s="66"/>
      <c r="AC99" s="66">
        <f>N98-K98</f>
        <v>490000</v>
      </c>
      <c r="AD99" s="66">
        <f>O98-L98</f>
        <v>5805.6900000000096</v>
      </c>
      <c r="AE99" s="72"/>
    </row>
    <row r="100" spans="1:31" s="7" customFormat="1" ht="21.5" customHeight="1">
      <c r="B100" s="51"/>
      <c r="C100" s="51"/>
      <c r="E100" s="51"/>
      <c r="G100" s="55"/>
      <c r="H100" s="63"/>
      <c r="I100" s="64"/>
      <c r="J100" s="65"/>
      <c r="K100" s="66"/>
      <c r="L100" s="66"/>
      <c r="M100" s="64"/>
      <c r="N100" s="66"/>
      <c r="O100" s="66"/>
      <c r="P100" s="69"/>
      <c r="Q100" s="66"/>
      <c r="R100" s="66"/>
      <c r="S100" s="66"/>
      <c r="T100" s="66"/>
      <c r="U100" s="66"/>
      <c r="V100" s="66"/>
      <c r="W100" s="65"/>
      <c r="X100" s="66"/>
      <c r="Y100" s="66"/>
      <c r="Z100" s="66"/>
      <c r="AA100" s="66"/>
      <c r="AB100" s="66"/>
      <c r="AC100" s="66"/>
      <c r="AD100" s="66"/>
      <c r="AE100" s="72"/>
    </row>
    <row r="101" spans="1:31">
      <c r="A101" s="137" t="s">
        <v>123</v>
      </c>
    </row>
    <row r="103" spans="1:31" s="6" customFormat="1">
      <c r="A103" s="96" t="s">
        <v>124</v>
      </c>
      <c r="B103" s="96" t="s">
        <v>125</v>
      </c>
      <c r="C103" s="96" t="s">
        <v>126</v>
      </c>
      <c r="D103" s="96" t="s">
        <v>127</v>
      </c>
      <c r="E103" s="96" t="s">
        <v>128</v>
      </c>
      <c r="F103" s="96" t="s">
        <v>129</v>
      </c>
      <c r="G103" s="96" t="s">
        <v>130</v>
      </c>
      <c r="H103" s="96" t="s">
        <v>131</v>
      </c>
      <c r="I103" s="96" t="s">
        <v>132</v>
      </c>
      <c r="J103" s="96" t="s">
        <v>133</v>
      </c>
      <c r="K103" s="96" t="s">
        <v>134</v>
      </c>
      <c r="L103" s="96" t="s">
        <v>135</v>
      </c>
      <c r="M103" s="96" t="s">
        <v>136</v>
      </c>
      <c r="N103" s="96" t="s">
        <v>137</v>
      </c>
      <c r="O103" s="96" t="s">
        <v>138</v>
      </c>
      <c r="P103" s="96" t="s">
        <v>139</v>
      </c>
      <c r="Q103" s="96" t="s">
        <v>140</v>
      </c>
      <c r="R103" s="96" t="s">
        <v>141</v>
      </c>
      <c r="S103" s="96" t="s">
        <v>142</v>
      </c>
      <c r="T103" s="96" t="s">
        <v>143</v>
      </c>
      <c r="U103" s="96" t="s">
        <v>92</v>
      </c>
      <c r="V103" s="96" t="s">
        <v>144</v>
      </c>
      <c r="W103" s="96" t="s">
        <v>145</v>
      </c>
      <c r="X103" s="96" t="s">
        <v>146</v>
      </c>
      <c r="Y103" s="96" t="s">
        <v>147</v>
      </c>
      <c r="Z103" s="96" t="s">
        <v>148</v>
      </c>
      <c r="AA103" s="96" t="s">
        <v>149</v>
      </c>
      <c r="AB103" s="96" t="s">
        <v>150</v>
      </c>
      <c r="AC103" s="96" t="s">
        <v>151</v>
      </c>
      <c r="AD103" s="96" t="s">
        <v>152</v>
      </c>
    </row>
    <row r="104" spans="1:31" s="6" customFormat="1">
      <c r="A104" s="6" t="s">
        <v>73</v>
      </c>
      <c r="B104" s="6" t="s">
        <v>153</v>
      </c>
      <c r="C104" s="6" t="s">
        <v>154</v>
      </c>
      <c r="D104" s="6" t="s">
        <v>154</v>
      </c>
      <c r="E104" s="6" t="s">
        <v>234</v>
      </c>
      <c r="F104" s="6" t="s">
        <v>235</v>
      </c>
      <c r="G104" s="6" t="s">
        <v>236</v>
      </c>
      <c r="H104" s="6" t="s">
        <v>237</v>
      </c>
      <c r="I104" s="6" t="s">
        <v>238</v>
      </c>
      <c r="J104" s="6" t="s">
        <v>239</v>
      </c>
      <c r="K104" s="6" t="s">
        <v>240</v>
      </c>
      <c r="L104" s="6" t="s">
        <v>241</v>
      </c>
      <c r="M104" s="6" t="s">
        <v>239</v>
      </c>
      <c r="N104" s="6" t="s">
        <v>78</v>
      </c>
      <c r="O104" s="6" t="s">
        <v>163</v>
      </c>
      <c r="P104" s="67">
        <v>490000</v>
      </c>
      <c r="Q104" s="67">
        <v>5805.69</v>
      </c>
      <c r="R104" s="6">
        <v>1.1848340000000001E-2</v>
      </c>
      <c r="S104" s="6" t="s">
        <v>164</v>
      </c>
      <c r="T104" s="6" t="s">
        <v>153</v>
      </c>
      <c r="U104" s="6" t="s">
        <v>76</v>
      </c>
      <c r="V104" s="6" t="s">
        <v>80</v>
      </c>
      <c r="W104" s="6" t="s">
        <v>242</v>
      </c>
      <c r="X104" s="6" t="s">
        <v>153</v>
      </c>
      <c r="Y104" s="6" t="s">
        <v>153</v>
      </c>
      <c r="Z104" s="6" t="s">
        <v>243</v>
      </c>
      <c r="AA104" s="6" t="s">
        <v>166</v>
      </c>
      <c r="AB104" s="6" t="s">
        <v>244</v>
      </c>
      <c r="AC104" s="6" t="s">
        <v>79</v>
      </c>
      <c r="AD104" s="6" t="s">
        <v>235</v>
      </c>
    </row>
    <row r="105" spans="1:31" s="6" customFormat="1">
      <c r="A105" s="6" t="s">
        <v>73</v>
      </c>
      <c r="B105" s="6" t="s">
        <v>153</v>
      </c>
      <c r="C105" s="6" t="s">
        <v>154</v>
      </c>
      <c r="D105" s="6" t="s">
        <v>154</v>
      </c>
      <c r="E105" s="6" t="s">
        <v>245</v>
      </c>
      <c r="F105" s="6" t="s">
        <v>235</v>
      </c>
      <c r="G105" s="6" t="s">
        <v>236</v>
      </c>
      <c r="H105" s="6" t="s">
        <v>183</v>
      </c>
      <c r="I105" s="6" t="s">
        <v>246</v>
      </c>
      <c r="J105" s="6" t="s">
        <v>247</v>
      </c>
      <c r="K105" s="6" t="s">
        <v>248</v>
      </c>
      <c r="L105" s="6" t="s">
        <v>249</v>
      </c>
      <c r="M105" s="6" t="s">
        <v>247</v>
      </c>
      <c r="N105" s="6" t="s">
        <v>78</v>
      </c>
      <c r="O105" s="6" t="s">
        <v>174</v>
      </c>
      <c r="P105" s="67">
        <v>-490000</v>
      </c>
      <c r="Q105" s="67">
        <v>-5805.69</v>
      </c>
      <c r="R105" s="6">
        <v>1.1848340000000001E-2</v>
      </c>
      <c r="S105" s="6" t="s">
        <v>164</v>
      </c>
      <c r="T105" s="6" t="s">
        <v>153</v>
      </c>
      <c r="U105" s="6" t="s">
        <v>76</v>
      </c>
      <c r="V105" s="6" t="s">
        <v>80</v>
      </c>
      <c r="W105" s="6" t="s">
        <v>242</v>
      </c>
      <c r="X105" s="6" t="s">
        <v>153</v>
      </c>
      <c r="Y105" s="6" t="s">
        <v>153</v>
      </c>
      <c r="Z105" s="6" t="s">
        <v>243</v>
      </c>
      <c r="AA105" s="6" t="s">
        <v>166</v>
      </c>
      <c r="AB105" s="6" t="s">
        <v>244</v>
      </c>
      <c r="AC105" s="6" t="s">
        <v>79</v>
      </c>
      <c r="AD105" s="6" t="s">
        <v>235</v>
      </c>
    </row>
    <row r="107" spans="1:31">
      <c r="P107" s="68" t="s">
        <v>119</v>
      </c>
    </row>
    <row r="109" spans="1:31">
      <c r="A109" s="137" t="s">
        <v>250</v>
      </c>
    </row>
    <row r="111" spans="1:31">
      <c r="A111" t="s">
        <v>251</v>
      </c>
    </row>
    <row r="149" spans="1:7">
      <c r="A149" s="137" t="s">
        <v>252</v>
      </c>
    </row>
    <row r="151" spans="1:7">
      <c r="A151" s="49" t="s">
        <v>253</v>
      </c>
      <c r="B151" s="49" t="s">
        <v>254</v>
      </c>
      <c r="C151" s="49" t="s">
        <v>255</v>
      </c>
      <c r="D151" s="49" t="s">
        <v>256</v>
      </c>
      <c r="E151" s="49" t="s">
        <v>257</v>
      </c>
      <c r="F151" s="49" t="s">
        <v>258</v>
      </c>
      <c r="G151" s="49" t="s">
        <v>259</v>
      </c>
    </row>
    <row r="152" spans="1:7" ht="21">
      <c r="A152" s="51" t="s">
        <v>76</v>
      </c>
      <c r="B152" s="51"/>
      <c r="C152" s="51" t="s">
        <v>76</v>
      </c>
      <c r="D152" s="52">
        <v>45627</v>
      </c>
      <c r="E152" s="53" t="s">
        <v>82</v>
      </c>
      <c r="F152" s="115">
        <v>550</v>
      </c>
      <c r="G152" s="53"/>
    </row>
    <row r="170" spans="1:31">
      <c r="A170" s="137" t="s">
        <v>90</v>
      </c>
    </row>
    <row r="172" spans="1:31" s="7" customFormat="1" ht="30" customHeight="1">
      <c r="A172" s="68" t="s">
        <v>91</v>
      </c>
      <c r="B172" s="68" t="s">
        <v>92</v>
      </c>
      <c r="C172" s="68" t="s">
        <v>93</v>
      </c>
      <c r="D172" s="68" t="s">
        <v>94</v>
      </c>
      <c r="E172" s="68" t="s">
        <v>95</v>
      </c>
      <c r="F172" s="68" t="s">
        <v>96</v>
      </c>
      <c r="G172" s="68" t="s">
        <v>97</v>
      </c>
      <c r="H172" s="101" t="s">
        <v>98</v>
      </c>
      <c r="I172" s="101" t="s">
        <v>99</v>
      </c>
      <c r="J172" s="101" t="s">
        <v>100</v>
      </c>
      <c r="K172" s="101" t="s">
        <v>101</v>
      </c>
      <c r="L172" s="101" t="s">
        <v>102</v>
      </c>
      <c r="M172" s="101" t="s">
        <v>103</v>
      </c>
      <c r="N172" s="68" t="s">
        <v>104</v>
      </c>
      <c r="O172" s="101" t="s">
        <v>105</v>
      </c>
      <c r="P172" s="101" t="s">
        <v>106</v>
      </c>
      <c r="Q172" s="68" t="s">
        <v>107</v>
      </c>
      <c r="R172" s="68" t="s">
        <v>108</v>
      </c>
      <c r="S172" s="68" t="s">
        <v>109</v>
      </c>
      <c r="T172" s="68" t="s">
        <v>110</v>
      </c>
      <c r="U172" s="68" t="s">
        <v>111</v>
      </c>
      <c r="V172" s="68" t="s">
        <v>112</v>
      </c>
      <c r="W172" s="101" t="s">
        <v>113</v>
      </c>
      <c r="X172" s="68" t="s">
        <v>114</v>
      </c>
      <c r="Y172" s="68" t="s">
        <v>115</v>
      </c>
      <c r="Z172" s="68" t="s">
        <v>116</v>
      </c>
      <c r="AA172" s="68" t="s">
        <v>117</v>
      </c>
      <c r="AB172" s="68" t="s">
        <v>118</v>
      </c>
      <c r="AC172" s="68" t="s">
        <v>119</v>
      </c>
      <c r="AD172" s="68" t="s">
        <v>120</v>
      </c>
      <c r="AE172" s="104" t="s">
        <v>121</v>
      </c>
    </row>
    <row r="173" spans="1:31" s="7" customFormat="1" ht="21.5" customHeight="1">
      <c r="B173" s="51" t="s">
        <v>76</v>
      </c>
      <c r="C173" s="51" t="s">
        <v>122</v>
      </c>
      <c r="E173" s="51" t="s">
        <v>78</v>
      </c>
      <c r="G173" s="55">
        <v>45832</v>
      </c>
      <c r="H173" s="63">
        <v>10000</v>
      </c>
      <c r="I173" s="64">
        <v>526</v>
      </c>
      <c r="J173" s="65">
        <v>525</v>
      </c>
      <c r="K173" s="66">
        <v>5260000</v>
      </c>
      <c r="L173" s="66">
        <v>62322.27</v>
      </c>
      <c r="M173" s="116">
        <v>550</v>
      </c>
      <c r="N173" s="66">
        <v>5500000</v>
      </c>
      <c r="O173" s="66">
        <v>67900.800000000003</v>
      </c>
      <c r="P173" s="69">
        <v>2.5472174623131201</v>
      </c>
      <c r="Q173" s="66">
        <v>0</v>
      </c>
      <c r="R173" s="66">
        <v>0</v>
      </c>
      <c r="S173" s="66">
        <v>0</v>
      </c>
      <c r="T173" s="66">
        <v>0</v>
      </c>
      <c r="U173" s="66">
        <v>62322.27</v>
      </c>
      <c r="V173" s="66">
        <v>0</v>
      </c>
      <c r="W173" s="65">
        <v>1.23456E-2</v>
      </c>
      <c r="X173" s="66">
        <v>240000</v>
      </c>
      <c r="Y173" s="66">
        <v>5578.53</v>
      </c>
      <c r="Z173" s="66">
        <v>0</v>
      </c>
      <c r="AA173" s="66">
        <v>0</v>
      </c>
      <c r="AB173" s="66">
        <v>2615.59</v>
      </c>
      <c r="AC173" s="66">
        <v>240000</v>
      </c>
      <c r="AD173" s="66">
        <v>2962.94</v>
      </c>
      <c r="AE173" s="72">
        <v>45627</v>
      </c>
    </row>
    <row r="174" spans="1:31" s="7" customFormat="1" ht="21.5" customHeight="1">
      <c r="B174" s="51"/>
      <c r="C174" s="51"/>
      <c r="E174" s="51"/>
      <c r="G174" s="55"/>
      <c r="H174" s="63"/>
      <c r="I174" s="64"/>
      <c r="J174" s="65"/>
      <c r="K174" s="66">
        <f>H173*I173</f>
        <v>5260000</v>
      </c>
      <c r="L174" s="66">
        <f>K173*R182</f>
        <v>62322.268400000001</v>
      </c>
      <c r="M174" s="64"/>
      <c r="N174" s="66">
        <f>H173*M173</f>
        <v>5500000</v>
      </c>
      <c r="O174" s="66">
        <f>N173*R178</f>
        <v>67900.800000000003</v>
      </c>
      <c r="P174" s="69"/>
      <c r="Q174" s="66"/>
      <c r="R174" s="66"/>
      <c r="S174" s="66"/>
      <c r="T174" s="66"/>
      <c r="U174" s="66"/>
      <c r="V174" s="66"/>
      <c r="W174" s="65"/>
      <c r="X174" s="66">
        <f>N173-K173</f>
        <v>240000</v>
      </c>
      <c r="Y174" s="66">
        <f>O173-L173</f>
        <v>5578.5300000000061</v>
      </c>
      <c r="Z174" s="66"/>
      <c r="AA174" s="66"/>
      <c r="AB174" s="66">
        <f>Y173-AD173</f>
        <v>2615.5899999999997</v>
      </c>
      <c r="AC174" s="66">
        <f>N173-K173</f>
        <v>240000</v>
      </c>
      <c r="AD174" s="66">
        <f>AC173*R178</f>
        <v>2962.944</v>
      </c>
      <c r="AE174" s="72"/>
    </row>
    <row r="175" spans="1:31" s="7" customFormat="1" ht="21.5" customHeight="1">
      <c r="A175" s="137" t="s">
        <v>123</v>
      </c>
      <c r="B175" s="51"/>
      <c r="C175" s="51"/>
      <c r="E175" s="51"/>
      <c r="G175" s="55"/>
      <c r="H175" s="63"/>
      <c r="I175" s="64"/>
      <c r="J175" s="65"/>
      <c r="K175" s="66"/>
      <c r="L175" s="66"/>
      <c r="M175" s="64"/>
      <c r="N175" s="66"/>
      <c r="O175" s="66"/>
      <c r="P175" s="69"/>
      <c r="Q175" s="66"/>
      <c r="R175" s="66"/>
      <c r="S175" s="66"/>
      <c r="T175" s="66"/>
      <c r="U175" s="66"/>
      <c r="V175" s="66"/>
      <c r="W175" s="65"/>
      <c r="X175" s="66"/>
      <c r="Y175" s="66"/>
      <c r="Z175" s="66"/>
      <c r="AA175" s="66"/>
      <c r="AB175" s="66"/>
      <c r="AC175" s="66"/>
      <c r="AD175" s="66"/>
      <c r="AE175" s="72"/>
    </row>
    <row r="177" spans="1:30" s="6" customFormat="1">
      <c r="A177" s="96" t="s">
        <v>124</v>
      </c>
      <c r="B177" s="96" t="s">
        <v>125</v>
      </c>
      <c r="C177" s="96" t="s">
        <v>126</v>
      </c>
      <c r="D177" s="96" t="s">
        <v>127</v>
      </c>
      <c r="E177" s="96" t="s">
        <v>128</v>
      </c>
      <c r="F177" s="96" t="s">
        <v>129</v>
      </c>
      <c r="G177" s="96" t="s">
        <v>130</v>
      </c>
      <c r="H177" s="96" t="s">
        <v>131</v>
      </c>
      <c r="I177" s="96" t="s">
        <v>132</v>
      </c>
      <c r="J177" s="96" t="s">
        <v>133</v>
      </c>
      <c r="K177" s="96" t="s">
        <v>134</v>
      </c>
      <c r="L177" s="96" t="s">
        <v>135</v>
      </c>
      <c r="M177" s="96" t="s">
        <v>136</v>
      </c>
      <c r="N177" s="96" t="s">
        <v>137</v>
      </c>
      <c r="O177" s="96" t="s">
        <v>138</v>
      </c>
      <c r="P177" s="96" t="s">
        <v>139</v>
      </c>
      <c r="Q177" s="96" t="s">
        <v>140</v>
      </c>
      <c r="R177" s="96" t="s">
        <v>141</v>
      </c>
      <c r="S177" s="96" t="s">
        <v>142</v>
      </c>
      <c r="T177" s="96" t="s">
        <v>143</v>
      </c>
      <c r="U177" s="96" t="s">
        <v>92</v>
      </c>
      <c r="V177" s="96" t="s">
        <v>144</v>
      </c>
      <c r="W177" s="96" t="s">
        <v>145</v>
      </c>
      <c r="X177" s="96" t="s">
        <v>146</v>
      </c>
      <c r="Y177" s="96" t="s">
        <v>147</v>
      </c>
      <c r="Z177" s="96" t="s">
        <v>148</v>
      </c>
      <c r="AA177" s="96" t="s">
        <v>149</v>
      </c>
      <c r="AB177" s="96" t="s">
        <v>150</v>
      </c>
      <c r="AC177" s="96" t="s">
        <v>151</v>
      </c>
      <c r="AD177" s="96" t="s">
        <v>152</v>
      </c>
    </row>
    <row r="178" spans="1:30" s="6" customFormat="1">
      <c r="A178" s="6" t="s">
        <v>73</v>
      </c>
      <c r="B178" s="6" t="s">
        <v>153</v>
      </c>
      <c r="C178" s="6" t="s">
        <v>260</v>
      </c>
      <c r="D178" s="6" t="s">
        <v>260</v>
      </c>
      <c r="E178" s="6" t="s">
        <v>261</v>
      </c>
      <c r="F178" s="6" t="s">
        <v>262</v>
      </c>
      <c r="G178" s="6" t="s">
        <v>236</v>
      </c>
      <c r="H178" s="6" t="s">
        <v>237</v>
      </c>
      <c r="I178" s="6" t="s">
        <v>263</v>
      </c>
      <c r="J178" s="6" t="s">
        <v>264</v>
      </c>
      <c r="K178" s="6" t="s">
        <v>265</v>
      </c>
      <c r="L178" s="6" t="s">
        <v>266</v>
      </c>
      <c r="M178" s="6" t="s">
        <v>264</v>
      </c>
      <c r="N178" s="6" t="s">
        <v>78</v>
      </c>
      <c r="O178" s="6" t="s">
        <v>163</v>
      </c>
      <c r="P178" s="67">
        <v>0</v>
      </c>
      <c r="Q178" s="67">
        <v>2615.59</v>
      </c>
      <c r="R178" s="6">
        <v>1.23456E-2</v>
      </c>
      <c r="S178" s="6" t="s">
        <v>164</v>
      </c>
      <c r="T178" s="6" t="s">
        <v>153</v>
      </c>
      <c r="U178" s="6" t="s">
        <v>76</v>
      </c>
      <c r="V178" s="6" t="s">
        <v>80</v>
      </c>
      <c r="W178" s="6" t="s">
        <v>242</v>
      </c>
      <c r="X178" s="6" t="s">
        <v>153</v>
      </c>
      <c r="Y178" s="6" t="s">
        <v>153</v>
      </c>
      <c r="Z178" s="6" t="s">
        <v>267</v>
      </c>
      <c r="AA178" s="6" t="s">
        <v>166</v>
      </c>
      <c r="AB178" s="6" t="s">
        <v>244</v>
      </c>
      <c r="AC178" s="6" t="s">
        <v>79</v>
      </c>
      <c r="AD178" s="6" t="s">
        <v>262</v>
      </c>
    </row>
    <row r="179" spans="1:30" s="6" customFormat="1">
      <c r="A179" s="6" t="s">
        <v>73</v>
      </c>
      <c r="B179" s="6" t="s">
        <v>153</v>
      </c>
      <c r="C179" s="6" t="s">
        <v>260</v>
      </c>
      <c r="D179" s="6" t="s">
        <v>260</v>
      </c>
      <c r="E179" s="6" t="s">
        <v>268</v>
      </c>
      <c r="F179" s="6" t="s">
        <v>262</v>
      </c>
      <c r="G179" s="6" t="s">
        <v>236</v>
      </c>
      <c r="H179" s="6" t="s">
        <v>183</v>
      </c>
      <c r="I179" s="6" t="s">
        <v>269</v>
      </c>
      <c r="J179" s="6" t="s">
        <v>270</v>
      </c>
      <c r="K179" s="6" t="s">
        <v>271</v>
      </c>
      <c r="L179" s="6" t="s">
        <v>272</v>
      </c>
      <c r="M179" s="6" t="s">
        <v>270</v>
      </c>
      <c r="N179" s="6" t="s">
        <v>78</v>
      </c>
      <c r="O179" s="6" t="s">
        <v>163</v>
      </c>
      <c r="P179" s="67">
        <v>0</v>
      </c>
      <c r="Q179" s="67">
        <v>-2615.59</v>
      </c>
      <c r="R179" s="6">
        <v>1.23456E-2</v>
      </c>
      <c r="S179" s="6" t="s">
        <v>164</v>
      </c>
      <c r="T179" s="6" t="s">
        <v>153</v>
      </c>
      <c r="U179" s="6" t="s">
        <v>76</v>
      </c>
      <c r="V179" s="6" t="s">
        <v>80</v>
      </c>
      <c r="W179" s="6" t="s">
        <v>242</v>
      </c>
      <c r="X179" s="6" t="s">
        <v>153</v>
      </c>
      <c r="Y179" s="6" t="s">
        <v>153</v>
      </c>
      <c r="Z179" s="6" t="s">
        <v>267</v>
      </c>
      <c r="AA179" s="6" t="s">
        <v>166</v>
      </c>
      <c r="AB179" s="6" t="s">
        <v>244</v>
      </c>
      <c r="AC179" s="6" t="s">
        <v>79</v>
      </c>
      <c r="AD179" s="6" t="s">
        <v>262</v>
      </c>
    </row>
    <row r="180" spans="1:30" s="6" customFormat="1">
      <c r="A180" s="6" t="s">
        <v>73</v>
      </c>
      <c r="B180" s="6" t="s">
        <v>153</v>
      </c>
      <c r="C180" s="6" t="s">
        <v>260</v>
      </c>
      <c r="D180" s="6" t="s">
        <v>260</v>
      </c>
      <c r="E180" s="6" t="s">
        <v>273</v>
      </c>
      <c r="F180" s="6" t="s">
        <v>262</v>
      </c>
      <c r="G180" s="6" t="s">
        <v>236</v>
      </c>
      <c r="H180" s="6" t="s">
        <v>237</v>
      </c>
      <c r="I180" s="6" t="s">
        <v>238</v>
      </c>
      <c r="J180" s="6" t="s">
        <v>239</v>
      </c>
      <c r="K180" s="6" t="s">
        <v>240</v>
      </c>
      <c r="L180" s="6" t="s">
        <v>241</v>
      </c>
      <c r="M180" s="6" t="s">
        <v>239</v>
      </c>
      <c r="N180" s="6" t="s">
        <v>78</v>
      </c>
      <c r="O180" s="6" t="s">
        <v>174</v>
      </c>
      <c r="P180" s="67">
        <v>-250000</v>
      </c>
      <c r="Q180" s="67">
        <v>-2842.75</v>
      </c>
      <c r="R180" s="6">
        <v>1.23456E-2</v>
      </c>
      <c r="S180" s="6" t="s">
        <v>164</v>
      </c>
      <c r="T180" s="6" t="s">
        <v>153</v>
      </c>
      <c r="U180" s="6" t="s">
        <v>76</v>
      </c>
      <c r="V180" s="6" t="s">
        <v>80</v>
      </c>
      <c r="W180" s="6" t="s">
        <v>242</v>
      </c>
      <c r="X180" s="6" t="s">
        <v>153</v>
      </c>
      <c r="Y180" s="6" t="s">
        <v>153</v>
      </c>
      <c r="Z180" s="6" t="s">
        <v>243</v>
      </c>
      <c r="AA180" s="6" t="s">
        <v>166</v>
      </c>
      <c r="AB180" s="6" t="s">
        <v>244</v>
      </c>
      <c r="AC180" s="6" t="s">
        <v>79</v>
      </c>
      <c r="AD180" s="6" t="s">
        <v>262</v>
      </c>
    </row>
    <row r="181" spans="1:30" s="6" customFormat="1">
      <c r="A181" s="6" t="s">
        <v>73</v>
      </c>
      <c r="B181" s="6" t="s">
        <v>153</v>
      </c>
      <c r="C181" s="6" t="s">
        <v>260</v>
      </c>
      <c r="D181" s="6" t="s">
        <v>260</v>
      </c>
      <c r="E181" s="6" t="s">
        <v>274</v>
      </c>
      <c r="F181" s="6" t="s">
        <v>262</v>
      </c>
      <c r="G181" s="6" t="s">
        <v>236</v>
      </c>
      <c r="H181" s="6" t="s">
        <v>183</v>
      </c>
      <c r="I181" s="6" t="s">
        <v>246</v>
      </c>
      <c r="J181" s="6" t="s">
        <v>247</v>
      </c>
      <c r="K181" s="6" t="s">
        <v>248</v>
      </c>
      <c r="L181" s="6" t="s">
        <v>249</v>
      </c>
      <c r="M181" s="6" t="s">
        <v>247</v>
      </c>
      <c r="N181" s="6" t="s">
        <v>78</v>
      </c>
      <c r="O181" s="6" t="s">
        <v>163</v>
      </c>
      <c r="P181" s="67">
        <v>250000</v>
      </c>
      <c r="Q181" s="67">
        <v>2842.75</v>
      </c>
      <c r="R181" s="6">
        <v>1.23456E-2</v>
      </c>
      <c r="S181" s="6" t="s">
        <v>164</v>
      </c>
      <c r="T181" s="6" t="s">
        <v>153</v>
      </c>
      <c r="U181" s="6" t="s">
        <v>76</v>
      </c>
      <c r="V181" s="6" t="s">
        <v>80</v>
      </c>
      <c r="W181" s="6" t="s">
        <v>242</v>
      </c>
      <c r="X181" s="6" t="s">
        <v>153</v>
      </c>
      <c r="Y181" s="6" t="s">
        <v>153</v>
      </c>
      <c r="Z181" s="6" t="s">
        <v>243</v>
      </c>
      <c r="AA181" s="6" t="s">
        <v>166</v>
      </c>
      <c r="AB181" s="6" t="s">
        <v>244</v>
      </c>
      <c r="AC181" s="6" t="s">
        <v>79</v>
      </c>
      <c r="AD181" s="6" t="s">
        <v>262</v>
      </c>
    </row>
    <row r="182" spans="1:30" s="6" customFormat="1">
      <c r="A182" s="6" t="s">
        <v>73</v>
      </c>
      <c r="B182" s="6" t="s">
        <v>153</v>
      </c>
      <c r="C182" s="6" t="s">
        <v>260</v>
      </c>
      <c r="D182" s="6" t="s">
        <v>260</v>
      </c>
      <c r="E182" s="6" t="s">
        <v>275</v>
      </c>
      <c r="F182" s="6" t="s">
        <v>276</v>
      </c>
      <c r="G182" s="6" t="s">
        <v>277</v>
      </c>
      <c r="H182" s="6" t="s">
        <v>237</v>
      </c>
      <c r="I182" s="6" t="s">
        <v>278</v>
      </c>
      <c r="J182" s="6" t="s">
        <v>279</v>
      </c>
      <c r="K182" s="6" t="s">
        <v>280</v>
      </c>
      <c r="L182" s="6" t="s">
        <v>281</v>
      </c>
      <c r="M182" s="6" t="s">
        <v>279</v>
      </c>
      <c r="N182" s="6" t="s">
        <v>78</v>
      </c>
      <c r="O182" s="6" t="s">
        <v>163</v>
      </c>
      <c r="P182" s="67">
        <v>0</v>
      </c>
      <c r="Q182" s="67">
        <v>-1.7</v>
      </c>
      <c r="R182" s="6">
        <v>1.1848340000000001E-2</v>
      </c>
      <c r="S182" s="6" t="s">
        <v>164</v>
      </c>
      <c r="T182" s="6" t="s">
        <v>153</v>
      </c>
      <c r="U182" s="6" t="s">
        <v>76</v>
      </c>
      <c r="V182" s="6" t="s">
        <v>80</v>
      </c>
      <c r="W182" s="6" t="s">
        <v>282</v>
      </c>
      <c r="X182" s="6" t="s">
        <v>81</v>
      </c>
      <c r="Y182" s="6" t="s">
        <v>153</v>
      </c>
      <c r="Z182" s="6" t="s">
        <v>283</v>
      </c>
      <c r="AA182" s="6" t="s">
        <v>166</v>
      </c>
      <c r="AB182" s="6" t="s">
        <v>166</v>
      </c>
      <c r="AC182" s="6" t="s">
        <v>79</v>
      </c>
      <c r="AD182" s="6" t="s">
        <v>156</v>
      </c>
    </row>
    <row r="183" spans="1:30" s="6" customFormat="1">
      <c r="A183" s="6" t="s">
        <v>73</v>
      </c>
      <c r="B183" s="6" t="s">
        <v>153</v>
      </c>
      <c r="C183" s="6" t="s">
        <v>260</v>
      </c>
      <c r="D183" s="6" t="s">
        <v>260</v>
      </c>
      <c r="E183" s="6" t="s">
        <v>284</v>
      </c>
      <c r="F183" s="6" t="s">
        <v>276</v>
      </c>
      <c r="G183" s="6" t="s">
        <v>277</v>
      </c>
      <c r="H183" s="6" t="s">
        <v>183</v>
      </c>
      <c r="I183" s="6" t="s">
        <v>285</v>
      </c>
      <c r="J183" s="6" t="s">
        <v>286</v>
      </c>
      <c r="K183" s="6" t="s">
        <v>287</v>
      </c>
      <c r="L183" s="6" t="s">
        <v>288</v>
      </c>
      <c r="M183" s="6" t="s">
        <v>286</v>
      </c>
      <c r="N183" s="6" t="s">
        <v>78</v>
      </c>
      <c r="O183" s="6" t="s">
        <v>163</v>
      </c>
      <c r="P183" s="67">
        <v>3400</v>
      </c>
      <c r="Q183" s="67">
        <v>41.98</v>
      </c>
      <c r="R183" s="6">
        <v>1.23456E-2</v>
      </c>
      <c r="S183" s="6" t="s">
        <v>164</v>
      </c>
      <c r="T183" s="6" t="s">
        <v>153</v>
      </c>
      <c r="U183" s="6" t="s">
        <v>76</v>
      </c>
      <c r="V183" s="6" t="s">
        <v>80</v>
      </c>
      <c r="W183" s="6" t="s">
        <v>282</v>
      </c>
      <c r="X183" s="6" t="s">
        <v>81</v>
      </c>
      <c r="Y183" s="6" t="s">
        <v>153</v>
      </c>
      <c r="Z183" s="6" t="s">
        <v>289</v>
      </c>
      <c r="AA183" s="6" t="s">
        <v>166</v>
      </c>
      <c r="AB183" s="6" t="s">
        <v>166</v>
      </c>
      <c r="AC183" s="6" t="s">
        <v>79</v>
      </c>
      <c r="AD183" s="6" t="s">
        <v>156</v>
      </c>
    </row>
    <row r="184" spans="1:30" s="6" customFormat="1">
      <c r="A184" s="6" t="s">
        <v>73</v>
      </c>
      <c r="B184" s="6" t="s">
        <v>153</v>
      </c>
      <c r="C184" s="6" t="s">
        <v>260</v>
      </c>
      <c r="D184" s="6" t="s">
        <v>260</v>
      </c>
      <c r="E184" s="6" t="s">
        <v>290</v>
      </c>
      <c r="F184" s="6" t="s">
        <v>276</v>
      </c>
      <c r="G184" s="6" t="s">
        <v>277</v>
      </c>
      <c r="H184" s="6" t="s">
        <v>158</v>
      </c>
      <c r="I184" s="6" t="s">
        <v>159</v>
      </c>
      <c r="J184" s="6" t="s">
        <v>160</v>
      </c>
      <c r="K184" s="6" t="s">
        <v>161</v>
      </c>
      <c r="L184" s="6" t="s">
        <v>162</v>
      </c>
      <c r="M184" s="6" t="s">
        <v>160</v>
      </c>
      <c r="N184" s="6" t="s">
        <v>78</v>
      </c>
      <c r="O184" s="6" t="s">
        <v>174</v>
      </c>
      <c r="P184" s="67">
        <v>-3400</v>
      </c>
      <c r="Q184" s="67">
        <v>-40.28</v>
      </c>
      <c r="R184" s="6">
        <v>1.1848340000000001E-2</v>
      </c>
      <c r="S184" s="6" t="s">
        <v>164</v>
      </c>
      <c r="T184" s="6" t="s">
        <v>153</v>
      </c>
      <c r="U184" s="6" t="s">
        <v>76</v>
      </c>
      <c r="V184" s="6" t="s">
        <v>80</v>
      </c>
      <c r="W184" s="6" t="s">
        <v>282</v>
      </c>
      <c r="X184" s="6" t="s">
        <v>81</v>
      </c>
      <c r="Y184" s="6" t="s">
        <v>153</v>
      </c>
      <c r="Z184" s="6" t="s">
        <v>289</v>
      </c>
      <c r="AA184" s="6" t="s">
        <v>166</v>
      </c>
      <c r="AB184" s="6" t="s">
        <v>166</v>
      </c>
      <c r="AC184" s="6" t="s">
        <v>79</v>
      </c>
      <c r="AD184" s="6" t="s">
        <v>156</v>
      </c>
    </row>
    <row r="186" spans="1:30">
      <c r="P186" t="s">
        <v>119</v>
      </c>
    </row>
    <row r="187" spans="1:30">
      <c r="O187" t="s">
        <v>291</v>
      </c>
      <c r="P187" s="66">
        <v>490000</v>
      </c>
      <c r="R187" s="117">
        <f>Q184+Q183</f>
        <v>1.6999999999999957</v>
      </c>
    </row>
    <row r="188" spans="1:30">
      <c r="O188" t="s">
        <v>292</v>
      </c>
      <c r="P188" s="66">
        <v>240000</v>
      </c>
    </row>
    <row r="189" spans="1:30">
      <c r="P189" s="107">
        <f>P187-P188</f>
        <v>250000</v>
      </c>
    </row>
    <row r="191" spans="1:30">
      <c r="A191" s="137" t="s">
        <v>293</v>
      </c>
    </row>
    <row r="194" spans="1:73" s="8" customFormat="1">
      <c r="A194" s="76" t="s">
        <v>0</v>
      </c>
      <c r="B194" s="76" t="s">
        <v>1</v>
      </c>
      <c r="C194" s="76" t="s">
        <v>2</v>
      </c>
      <c r="D194" s="76" t="s">
        <v>3</v>
      </c>
      <c r="E194" s="77" t="s">
        <v>4</v>
      </c>
      <c r="F194" s="76" t="s">
        <v>5</v>
      </c>
      <c r="G194" s="76" t="s">
        <v>6</v>
      </c>
      <c r="H194" s="76" t="s">
        <v>7</v>
      </c>
      <c r="I194" s="76" t="s">
        <v>8</v>
      </c>
      <c r="J194" s="76" t="s">
        <v>9</v>
      </c>
      <c r="K194" s="76" t="s">
        <v>10</v>
      </c>
      <c r="L194" s="76" t="s">
        <v>11</v>
      </c>
      <c r="M194" s="76" t="s">
        <v>12</v>
      </c>
      <c r="N194" s="76" t="s">
        <v>13</v>
      </c>
      <c r="O194" s="77" t="s">
        <v>14</v>
      </c>
      <c r="P194" s="77" t="s">
        <v>15</v>
      </c>
      <c r="Q194" s="76" t="s">
        <v>16</v>
      </c>
      <c r="R194" s="76" t="s">
        <v>17</v>
      </c>
      <c r="S194" s="77" t="s">
        <v>18</v>
      </c>
      <c r="T194" s="76" t="s">
        <v>19</v>
      </c>
      <c r="U194" s="76" t="s">
        <v>20</v>
      </c>
      <c r="V194" s="76" t="s">
        <v>21</v>
      </c>
      <c r="W194" s="76" t="s">
        <v>22</v>
      </c>
      <c r="X194" s="76" t="s">
        <v>23</v>
      </c>
      <c r="Y194" s="76" t="s">
        <v>24</v>
      </c>
      <c r="Z194" s="76" t="s">
        <v>25</v>
      </c>
      <c r="AA194" s="76" t="s">
        <v>26</v>
      </c>
      <c r="AB194" s="76" t="s">
        <v>27</v>
      </c>
      <c r="AC194" s="77" t="s">
        <v>28</v>
      </c>
      <c r="AD194" s="77" t="s">
        <v>29</v>
      </c>
      <c r="AE194" s="77" t="s">
        <v>30</v>
      </c>
      <c r="AF194" s="77" t="s">
        <v>31</v>
      </c>
      <c r="AG194" s="77" t="s">
        <v>32</v>
      </c>
      <c r="AH194" s="76" t="s">
        <v>33</v>
      </c>
      <c r="AI194" s="76" t="s">
        <v>34</v>
      </c>
      <c r="AJ194" s="76" t="s">
        <v>35</v>
      </c>
      <c r="AK194" s="76" t="s">
        <v>36</v>
      </c>
      <c r="AL194" s="76" t="s">
        <v>37</v>
      </c>
      <c r="AM194" s="85" t="s">
        <v>38</v>
      </c>
      <c r="AN194" s="76" t="s">
        <v>39</v>
      </c>
      <c r="AO194" s="76" t="s">
        <v>40</v>
      </c>
      <c r="AP194" s="76" t="s">
        <v>41</v>
      </c>
      <c r="AQ194" s="76" t="s">
        <v>42</v>
      </c>
      <c r="AR194" s="87" t="s">
        <v>43</v>
      </c>
      <c r="AS194" s="76" t="s">
        <v>44</v>
      </c>
      <c r="AT194" s="87" t="s">
        <v>45</v>
      </c>
      <c r="AU194" s="76" t="s">
        <v>46</v>
      </c>
      <c r="AV194" s="76" t="s">
        <v>47</v>
      </c>
      <c r="AW194" s="76" t="s">
        <v>48</v>
      </c>
      <c r="AX194" s="87" t="s">
        <v>49</v>
      </c>
      <c r="AY194" s="76" t="s">
        <v>50</v>
      </c>
      <c r="AZ194" s="87" t="s">
        <v>51</v>
      </c>
      <c r="BA194" s="76" t="s">
        <v>52</v>
      </c>
      <c r="BB194" s="76" t="s">
        <v>53</v>
      </c>
      <c r="BC194" s="76" t="s">
        <v>54</v>
      </c>
      <c r="BD194" s="76" t="s">
        <v>55</v>
      </c>
      <c r="BE194" s="76" t="s">
        <v>56</v>
      </c>
      <c r="BF194" s="76" t="s">
        <v>57</v>
      </c>
      <c r="BG194" s="76" t="s">
        <v>58</v>
      </c>
      <c r="BH194" s="76" t="s">
        <v>59</v>
      </c>
      <c r="BI194" s="76" t="s">
        <v>60</v>
      </c>
      <c r="BJ194" s="76" t="s">
        <v>61</v>
      </c>
      <c r="BK194" s="76" t="s">
        <v>62</v>
      </c>
      <c r="BL194" s="76" t="s">
        <v>63</v>
      </c>
      <c r="BM194" s="76" t="s">
        <v>64</v>
      </c>
      <c r="BN194" s="76" t="s">
        <v>65</v>
      </c>
      <c r="BO194" s="76" t="s">
        <v>66</v>
      </c>
      <c r="BP194" s="76" t="s">
        <v>67</v>
      </c>
      <c r="BQ194" s="76" t="s">
        <v>68</v>
      </c>
      <c r="BR194" s="76" t="s">
        <v>69</v>
      </c>
      <c r="BS194" s="76" t="s">
        <v>70</v>
      </c>
      <c r="BT194" s="76" t="s">
        <v>71</v>
      </c>
      <c r="BU194" s="76" t="s">
        <v>72</v>
      </c>
    </row>
    <row r="195" spans="1:73" s="9" customFormat="1" ht="15" customHeight="1">
      <c r="A195" s="9" t="s">
        <v>73</v>
      </c>
      <c r="B195" s="9" t="s">
        <v>74</v>
      </c>
      <c r="C195" s="9" t="s">
        <v>75</v>
      </c>
      <c r="D195" s="9">
        <v>30</v>
      </c>
      <c r="E195" s="78" t="s">
        <v>76</v>
      </c>
      <c r="F195" s="9" t="s">
        <v>77</v>
      </c>
      <c r="G195" s="9" t="s">
        <v>78</v>
      </c>
      <c r="H195" s="9" t="s">
        <v>79</v>
      </c>
      <c r="I195" s="9" t="s">
        <v>80</v>
      </c>
      <c r="J195" s="53"/>
      <c r="K195" s="53"/>
      <c r="L195" s="53"/>
      <c r="M195" s="53"/>
      <c r="N195" s="79"/>
      <c r="O195" s="53">
        <v>5000</v>
      </c>
      <c r="P195" s="79">
        <v>300</v>
      </c>
      <c r="Q195" s="9">
        <v>0</v>
      </c>
      <c r="R195" s="81">
        <f>O195*P195</f>
        <v>1500000</v>
      </c>
      <c r="S195" s="6">
        <v>1.23456E-2</v>
      </c>
      <c r="T195" s="81">
        <f>R195*S195</f>
        <v>18518.400000000001</v>
      </c>
      <c r="U195" s="82">
        <v>0</v>
      </c>
      <c r="V195" s="82">
        <v>0</v>
      </c>
      <c r="W195" s="83">
        <f>O195*P195</f>
        <v>1500000</v>
      </c>
      <c r="X195" s="81">
        <f>W195*S195</f>
        <v>18518.400000000001</v>
      </c>
      <c r="Y195" s="9" t="s">
        <v>81</v>
      </c>
      <c r="Z195" s="9" t="s">
        <v>82</v>
      </c>
      <c r="AA195" s="9" t="s">
        <v>83</v>
      </c>
      <c r="AB195" s="9" t="s">
        <v>84</v>
      </c>
      <c r="AC195" s="53" t="s">
        <v>294</v>
      </c>
      <c r="AD195" s="84">
        <v>45627</v>
      </c>
      <c r="AE195" s="84">
        <v>45627</v>
      </c>
      <c r="AF195" s="84">
        <v>45627</v>
      </c>
      <c r="AG195" s="84">
        <v>45832</v>
      </c>
      <c r="AH195" s="9" t="s">
        <v>86</v>
      </c>
      <c r="AI195" s="9" t="s">
        <v>87</v>
      </c>
      <c r="AJ195" s="6">
        <v>1.23456E-2</v>
      </c>
      <c r="AK195" s="86">
        <f>W195*AJ195</f>
        <v>18518.400000000001</v>
      </c>
      <c r="AM195" s="109">
        <v>45627</v>
      </c>
      <c r="AN195" s="82">
        <v>0</v>
      </c>
      <c r="AO195" s="82">
        <v>0</v>
      </c>
      <c r="AR195" s="88" t="s">
        <v>88</v>
      </c>
      <c r="AS195" s="9" t="s">
        <v>78</v>
      </c>
      <c r="AT195" s="53">
        <v>5000</v>
      </c>
      <c r="AU195" s="53">
        <v>5000</v>
      </c>
      <c r="AV195" s="6">
        <v>1.23456E-2</v>
      </c>
      <c r="AW195" s="82">
        <v>0</v>
      </c>
      <c r="AX195" s="88" t="s">
        <v>89</v>
      </c>
      <c r="AY195" s="9" t="s">
        <v>78</v>
      </c>
      <c r="AZ195" s="53">
        <v>5000</v>
      </c>
      <c r="BA195" s="53">
        <v>5000</v>
      </c>
      <c r="BB195" s="6">
        <v>1.23456E-2</v>
      </c>
      <c r="BC195" s="82">
        <v>0</v>
      </c>
      <c r="BD195" s="89"/>
      <c r="BE195" s="89"/>
      <c r="BF195" s="82">
        <v>0</v>
      </c>
      <c r="BG195" s="82">
        <v>0</v>
      </c>
      <c r="BH195" s="9">
        <v>0</v>
      </c>
      <c r="BI195" s="82">
        <v>0</v>
      </c>
      <c r="BJ195" s="89"/>
      <c r="BK195" s="89"/>
      <c r="BL195" s="82">
        <v>0</v>
      </c>
      <c r="BM195" s="82">
        <v>0</v>
      </c>
      <c r="BN195" s="9">
        <v>0</v>
      </c>
      <c r="BO195" s="82">
        <v>0</v>
      </c>
      <c r="BP195" s="89"/>
      <c r="BQ195" s="89"/>
      <c r="BR195" s="82">
        <v>0</v>
      </c>
      <c r="BS195" s="82">
        <v>0</v>
      </c>
      <c r="BT195" s="9">
        <v>0</v>
      </c>
      <c r="BU195" s="82">
        <v>0</v>
      </c>
    </row>
    <row r="231" spans="1:33">
      <c r="N231" s="106"/>
    </row>
    <row r="236" spans="1:33">
      <c r="A236" s="137" t="s">
        <v>90</v>
      </c>
      <c r="L236" s="66">
        <v>62322.27</v>
      </c>
    </row>
    <row r="237" spans="1:33">
      <c r="L237" s="67">
        <v>31161.14</v>
      </c>
    </row>
    <row r="238" spans="1:33" s="7" customFormat="1" ht="30" customHeight="1">
      <c r="A238" s="68" t="s">
        <v>91</v>
      </c>
      <c r="B238" s="68" t="s">
        <v>92</v>
      </c>
      <c r="C238" s="68" t="s">
        <v>93</v>
      </c>
      <c r="D238" s="68" t="s">
        <v>94</v>
      </c>
      <c r="E238" s="68" t="s">
        <v>95</v>
      </c>
      <c r="F238" s="68" t="s">
        <v>96</v>
      </c>
      <c r="G238" s="68" t="s">
        <v>97</v>
      </c>
      <c r="H238" s="101" t="s">
        <v>98</v>
      </c>
      <c r="I238" s="101" t="s">
        <v>99</v>
      </c>
      <c r="J238" s="101" t="s">
        <v>100</v>
      </c>
      <c r="K238" s="101" t="s">
        <v>101</v>
      </c>
      <c r="L238" s="101" t="s">
        <v>102</v>
      </c>
      <c r="M238" s="101" t="s">
        <v>103</v>
      </c>
      <c r="N238" s="68" t="s">
        <v>104</v>
      </c>
      <c r="O238" s="101" t="s">
        <v>105</v>
      </c>
      <c r="P238" s="101" t="s">
        <v>106</v>
      </c>
      <c r="Q238" s="68" t="s">
        <v>107</v>
      </c>
      <c r="R238" s="68" t="s">
        <v>108</v>
      </c>
      <c r="S238" s="68" t="s">
        <v>109</v>
      </c>
      <c r="T238" s="68" t="s">
        <v>110</v>
      </c>
      <c r="U238" s="68" t="s">
        <v>111</v>
      </c>
      <c r="V238" s="68" t="s">
        <v>112</v>
      </c>
      <c r="W238" s="101" t="s">
        <v>113</v>
      </c>
      <c r="X238" s="68" t="s">
        <v>114</v>
      </c>
      <c r="Y238" s="68" t="s">
        <v>115</v>
      </c>
      <c r="Z238" s="68" t="s">
        <v>116</v>
      </c>
      <c r="AA238" s="68" t="s">
        <v>117</v>
      </c>
      <c r="AB238" s="68" t="s">
        <v>118</v>
      </c>
      <c r="AC238" s="68" t="s">
        <v>119</v>
      </c>
      <c r="AD238" s="68" t="s">
        <v>120</v>
      </c>
      <c r="AE238" s="104" t="s">
        <v>121</v>
      </c>
    </row>
    <row r="239" spans="1:33" s="7" customFormat="1" ht="21.5" customHeight="1">
      <c r="B239" s="51" t="s">
        <v>76</v>
      </c>
      <c r="C239" s="51" t="s">
        <v>122</v>
      </c>
      <c r="E239" s="51" t="s">
        <v>78</v>
      </c>
      <c r="G239" s="55">
        <v>45832</v>
      </c>
      <c r="H239" s="63">
        <v>5000</v>
      </c>
      <c r="I239" s="64">
        <v>526</v>
      </c>
      <c r="J239" s="65">
        <v>525</v>
      </c>
      <c r="K239" s="66">
        <v>2630000</v>
      </c>
      <c r="L239" s="66">
        <v>31161.13</v>
      </c>
      <c r="M239" s="64">
        <v>550</v>
      </c>
      <c r="N239" s="66">
        <v>2750000</v>
      </c>
      <c r="O239" s="66">
        <v>33950.400000000001</v>
      </c>
      <c r="P239" s="69">
        <v>1.27306663969402</v>
      </c>
      <c r="Q239" s="66">
        <v>0</v>
      </c>
      <c r="R239" s="66">
        <v>0</v>
      </c>
      <c r="S239" s="66">
        <v>0</v>
      </c>
      <c r="T239" s="66">
        <v>0</v>
      </c>
      <c r="U239" s="66">
        <v>31161.13</v>
      </c>
      <c r="V239" s="66">
        <v>0</v>
      </c>
      <c r="W239" s="65">
        <v>1.23456E-2</v>
      </c>
      <c r="X239" s="66">
        <v>120000</v>
      </c>
      <c r="Y239" s="66">
        <v>2789.27</v>
      </c>
      <c r="Z239" s="66">
        <v>0</v>
      </c>
      <c r="AA239" s="66">
        <v>0</v>
      </c>
      <c r="AB239" s="120">
        <v>1307.79</v>
      </c>
      <c r="AC239" s="66">
        <v>120000</v>
      </c>
      <c r="AD239" s="66">
        <v>1481.47</v>
      </c>
      <c r="AE239" s="72">
        <v>45627</v>
      </c>
      <c r="AG239" s="118"/>
    </row>
    <row r="240" spans="1:33">
      <c r="K240" s="106">
        <f>H239*I239</f>
        <v>2630000</v>
      </c>
      <c r="L240" s="107">
        <f>L236-L237</f>
        <v>31161.129999999997</v>
      </c>
      <c r="N240" s="106">
        <f>H239*M239</f>
        <v>2750000</v>
      </c>
      <c r="O240" s="107">
        <f>N239*R245</f>
        <v>33950.400000000001</v>
      </c>
      <c r="X240" s="107">
        <f>N239-K239</f>
        <v>120000</v>
      </c>
      <c r="Y240" s="107">
        <f>O239-L239</f>
        <v>2789.2700000000004</v>
      </c>
      <c r="AB240" s="107">
        <f>Y239-AD239</f>
        <v>1307.8</v>
      </c>
      <c r="AC240" s="107">
        <f>N239-K239</f>
        <v>120000</v>
      </c>
      <c r="AD240" s="107">
        <f>AC239*R246</f>
        <v>1481.472</v>
      </c>
    </row>
    <row r="241" spans="1:30">
      <c r="AC241" s="66"/>
    </row>
    <row r="242" spans="1:30">
      <c r="A242" s="137" t="s">
        <v>123</v>
      </c>
      <c r="L242" s="119"/>
      <c r="M242" s="119"/>
      <c r="O242" s="119"/>
    </row>
    <row r="244" spans="1:30" s="6" customFormat="1">
      <c r="A244" s="96" t="s">
        <v>124</v>
      </c>
      <c r="B244" s="96" t="s">
        <v>125</v>
      </c>
      <c r="C244" s="96" t="s">
        <v>126</v>
      </c>
      <c r="D244" s="96" t="s">
        <v>127</v>
      </c>
      <c r="E244" s="96" t="s">
        <v>128</v>
      </c>
      <c r="F244" s="96" t="s">
        <v>129</v>
      </c>
      <c r="G244" s="96" t="s">
        <v>130</v>
      </c>
      <c r="H244" s="96" t="s">
        <v>131</v>
      </c>
      <c r="I244" s="96" t="s">
        <v>132</v>
      </c>
      <c r="J244" s="96" t="s">
        <v>133</v>
      </c>
      <c r="K244" s="96" t="s">
        <v>134</v>
      </c>
      <c r="L244" s="96" t="s">
        <v>135</v>
      </c>
      <c r="M244" s="96" t="s">
        <v>136</v>
      </c>
      <c r="N244" s="96" t="s">
        <v>137</v>
      </c>
      <c r="O244" s="96" t="s">
        <v>138</v>
      </c>
      <c r="P244" s="96" t="s">
        <v>139</v>
      </c>
      <c r="Q244" s="96" t="s">
        <v>140</v>
      </c>
      <c r="R244" s="96" t="s">
        <v>141</v>
      </c>
      <c r="S244" s="96" t="s">
        <v>142</v>
      </c>
      <c r="T244" s="96" t="s">
        <v>143</v>
      </c>
      <c r="U244" s="96" t="s">
        <v>92</v>
      </c>
      <c r="V244" s="96" t="s">
        <v>144</v>
      </c>
      <c r="W244" s="96" t="s">
        <v>145</v>
      </c>
      <c r="X244" s="96" t="s">
        <v>146</v>
      </c>
      <c r="Y244" s="96" t="s">
        <v>147</v>
      </c>
      <c r="Z244" s="96" t="s">
        <v>148</v>
      </c>
      <c r="AA244" s="96" t="s">
        <v>149</v>
      </c>
      <c r="AB244" s="96" t="s">
        <v>150</v>
      </c>
      <c r="AC244" s="96" t="s">
        <v>151</v>
      </c>
      <c r="AD244" s="96" t="s">
        <v>152</v>
      </c>
    </row>
    <row r="245" spans="1:30" s="6" customFormat="1">
      <c r="A245" s="6" t="s">
        <v>73</v>
      </c>
      <c r="B245" s="6" t="s">
        <v>153</v>
      </c>
      <c r="C245" s="6" t="s">
        <v>260</v>
      </c>
      <c r="D245" s="6" t="s">
        <v>260</v>
      </c>
      <c r="E245" s="6" t="s">
        <v>295</v>
      </c>
      <c r="F245" s="6" t="s">
        <v>296</v>
      </c>
      <c r="G245" s="6" t="s">
        <v>157</v>
      </c>
      <c r="H245" s="6" t="s">
        <v>237</v>
      </c>
      <c r="I245" s="6" t="s">
        <v>263</v>
      </c>
      <c r="J245" s="6" t="s">
        <v>264</v>
      </c>
      <c r="K245" s="6" t="s">
        <v>265</v>
      </c>
      <c r="L245" s="6" t="s">
        <v>266</v>
      </c>
      <c r="M245" s="6" t="s">
        <v>264</v>
      </c>
      <c r="N245" s="6" t="s">
        <v>78</v>
      </c>
      <c r="O245" s="6" t="s">
        <v>163</v>
      </c>
      <c r="P245" s="67">
        <v>0</v>
      </c>
      <c r="Q245" s="67">
        <v>-1307.8</v>
      </c>
      <c r="R245" s="6">
        <v>1.23456E-2</v>
      </c>
      <c r="S245" s="6" t="s">
        <v>164</v>
      </c>
      <c r="T245" s="6" t="s">
        <v>153</v>
      </c>
      <c r="U245" s="6" t="s">
        <v>76</v>
      </c>
      <c r="V245" s="6" t="s">
        <v>80</v>
      </c>
      <c r="W245" s="6" t="s">
        <v>294</v>
      </c>
      <c r="X245" s="6" t="s">
        <v>81</v>
      </c>
      <c r="Y245" s="6" t="s">
        <v>153</v>
      </c>
      <c r="Z245" s="6" t="s">
        <v>297</v>
      </c>
      <c r="AA245" s="6" t="s">
        <v>166</v>
      </c>
      <c r="AB245" s="6" t="s">
        <v>166</v>
      </c>
      <c r="AC245" s="6" t="s">
        <v>79</v>
      </c>
      <c r="AD245" s="6" t="s">
        <v>298</v>
      </c>
    </row>
    <row r="246" spans="1:30" s="6" customFormat="1">
      <c r="A246" s="6" t="s">
        <v>73</v>
      </c>
      <c r="B246" s="6" t="s">
        <v>153</v>
      </c>
      <c r="C246" s="6" t="s">
        <v>260</v>
      </c>
      <c r="D246" s="6" t="s">
        <v>260</v>
      </c>
      <c r="E246" s="6" t="s">
        <v>299</v>
      </c>
      <c r="F246" s="6" t="s">
        <v>296</v>
      </c>
      <c r="G246" s="6" t="s">
        <v>157</v>
      </c>
      <c r="H246" s="6" t="s">
        <v>183</v>
      </c>
      <c r="I246" s="6" t="s">
        <v>269</v>
      </c>
      <c r="J246" s="6" t="s">
        <v>270</v>
      </c>
      <c r="K246" s="6" t="s">
        <v>271</v>
      </c>
      <c r="L246" s="6" t="s">
        <v>272</v>
      </c>
      <c r="M246" s="6" t="s">
        <v>270</v>
      </c>
      <c r="N246" s="6" t="s">
        <v>78</v>
      </c>
      <c r="O246" s="6" t="s">
        <v>163</v>
      </c>
      <c r="P246" s="67">
        <v>0</v>
      </c>
      <c r="Q246" s="67">
        <v>1307.8</v>
      </c>
      <c r="R246" s="6">
        <v>1.23456E-2</v>
      </c>
      <c r="S246" s="6" t="s">
        <v>164</v>
      </c>
      <c r="T246" s="6" t="s">
        <v>153</v>
      </c>
      <c r="U246" s="6" t="s">
        <v>76</v>
      </c>
      <c r="V246" s="6" t="s">
        <v>80</v>
      </c>
      <c r="W246" s="6" t="s">
        <v>294</v>
      </c>
      <c r="X246" s="6" t="s">
        <v>81</v>
      </c>
      <c r="Y246" s="6" t="s">
        <v>153</v>
      </c>
      <c r="Z246" s="6" t="s">
        <v>297</v>
      </c>
      <c r="AA246" s="6" t="s">
        <v>166</v>
      </c>
      <c r="AB246" s="6" t="s">
        <v>166</v>
      </c>
      <c r="AC246" s="6" t="s">
        <v>79</v>
      </c>
      <c r="AD246" s="6" t="s">
        <v>298</v>
      </c>
    </row>
    <row r="247" spans="1:30" s="6" customFormat="1">
      <c r="A247" s="6" t="s">
        <v>73</v>
      </c>
      <c r="B247" s="6" t="s">
        <v>153</v>
      </c>
      <c r="C247" s="6" t="s">
        <v>260</v>
      </c>
      <c r="D247" s="6" t="s">
        <v>260</v>
      </c>
      <c r="E247" s="6" t="s">
        <v>300</v>
      </c>
      <c r="F247" s="6" t="s">
        <v>296</v>
      </c>
      <c r="G247" s="6" t="s">
        <v>157</v>
      </c>
      <c r="H247" s="6" t="s">
        <v>237</v>
      </c>
      <c r="I247" s="6" t="s">
        <v>301</v>
      </c>
      <c r="J247" s="6" t="s">
        <v>302</v>
      </c>
      <c r="K247" s="6" t="s">
        <v>303</v>
      </c>
      <c r="L247" s="6" t="s">
        <v>304</v>
      </c>
      <c r="M247" s="6" t="s">
        <v>302</v>
      </c>
      <c r="N247" s="6" t="s">
        <v>78</v>
      </c>
      <c r="O247" s="6" t="s">
        <v>163</v>
      </c>
      <c r="P247" s="67">
        <v>0</v>
      </c>
      <c r="Q247" s="67">
        <v>1307.79</v>
      </c>
      <c r="R247" s="6">
        <v>1.23456E-2</v>
      </c>
      <c r="S247" s="6" t="s">
        <v>164</v>
      </c>
      <c r="T247" s="6" t="s">
        <v>153</v>
      </c>
      <c r="U247" s="6" t="s">
        <v>76</v>
      </c>
      <c r="V247" s="6" t="s">
        <v>80</v>
      </c>
      <c r="W247" s="6" t="s">
        <v>294</v>
      </c>
      <c r="X247" s="6" t="s">
        <v>81</v>
      </c>
      <c r="Y247" s="6" t="s">
        <v>153</v>
      </c>
      <c r="Z247" s="6" t="s">
        <v>305</v>
      </c>
      <c r="AA247" s="6" t="s">
        <v>166</v>
      </c>
      <c r="AB247" s="6" t="s">
        <v>166</v>
      </c>
      <c r="AC247" s="6" t="s">
        <v>79</v>
      </c>
      <c r="AD247" s="6" t="s">
        <v>298</v>
      </c>
    </row>
    <row r="248" spans="1:30" s="6" customFormat="1">
      <c r="A248" s="6" t="s">
        <v>73</v>
      </c>
      <c r="B248" s="6" t="s">
        <v>153</v>
      </c>
      <c r="C248" s="6" t="s">
        <v>260</v>
      </c>
      <c r="D248" s="6" t="s">
        <v>260</v>
      </c>
      <c r="E248" s="6" t="s">
        <v>306</v>
      </c>
      <c r="F248" s="6" t="s">
        <v>296</v>
      </c>
      <c r="G248" s="6" t="s">
        <v>157</v>
      </c>
      <c r="H248" s="6" t="s">
        <v>183</v>
      </c>
      <c r="I248" s="6" t="s">
        <v>307</v>
      </c>
      <c r="J248" s="6" t="s">
        <v>308</v>
      </c>
      <c r="K248" s="6" t="s">
        <v>309</v>
      </c>
      <c r="L248" s="6" t="s">
        <v>310</v>
      </c>
      <c r="M248" s="6" t="s">
        <v>308</v>
      </c>
      <c r="N248" s="6" t="s">
        <v>78</v>
      </c>
      <c r="O248" s="6" t="s">
        <v>163</v>
      </c>
      <c r="P248" s="67">
        <v>1135000</v>
      </c>
      <c r="Q248" s="67">
        <v>14012.26</v>
      </c>
      <c r="R248" s="6">
        <v>1.23456E-2</v>
      </c>
      <c r="S248" s="6" t="s">
        <v>164</v>
      </c>
      <c r="T248" s="6" t="s">
        <v>153</v>
      </c>
      <c r="U248" s="6" t="s">
        <v>76</v>
      </c>
      <c r="V248" s="6" t="s">
        <v>80</v>
      </c>
      <c r="W248" s="6" t="s">
        <v>294</v>
      </c>
      <c r="X248" s="6" t="s">
        <v>81</v>
      </c>
      <c r="Y248" s="6" t="s">
        <v>153</v>
      </c>
      <c r="Z248" s="6" t="s">
        <v>311</v>
      </c>
      <c r="AA248" s="6" t="s">
        <v>166</v>
      </c>
      <c r="AB248" s="6" t="s">
        <v>166</v>
      </c>
      <c r="AC248" s="6" t="s">
        <v>79</v>
      </c>
      <c r="AD248" s="6" t="s">
        <v>298</v>
      </c>
    </row>
    <row r="249" spans="1:30" s="6" customFormat="1">
      <c r="A249" s="6" t="s">
        <v>73</v>
      </c>
      <c r="B249" s="6" t="s">
        <v>153</v>
      </c>
      <c r="C249" s="6" t="s">
        <v>260</v>
      </c>
      <c r="D249" s="6" t="s">
        <v>260</v>
      </c>
      <c r="E249" s="6" t="s">
        <v>312</v>
      </c>
      <c r="F249" s="6" t="s">
        <v>296</v>
      </c>
      <c r="G249" s="6" t="s">
        <v>157</v>
      </c>
      <c r="H249" s="6" t="s">
        <v>237</v>
      </c>
      <c r="I249" s="6" t="s">
        <v>313</v>
      </c>
      <c r="J249" s="6" t="s">
        <v>314</v>
      </c>
      <c r="K249" s="6" t="s">
        <v>315</v>
      </c>
      <c r="L249" s="6" t="s">
        <v>316</v>
      </c>
      <c r="M249" s="6" t="s">
        <v>314</v>
      </c>
      <c r="N249" s="6" t="s">
        <v>78</v>
      </c>
      <c r="O249" s="6" t="s">
        <v>174</v>
      </c>
      <c r="P249" s="67">
        <v>-1135000</v>
      </c>
      <c r="Q249" s="67">
        <v>-14012.26</v>
      </c>
      <c r="R249" s="6">
        <v>1.23456E-2</v>
      </c>
      <c r="S249" s="6" t="s">
        <v>164</v>
      </c>
      <c r="T249" s="6" t="s">
        <v>153</v>
      </c>
      <c r="U249" s="6" t="s">
        <v>76</v>
      </c>
      <c r="V249" s="6" t="s">
        <v>80</v>
      </c>
      <c r="W249" s="6" t="s">
        <v>294</v>
      </c>
      <c r="X249" s="6" t="s">
        <v>81</v>
      </c>
      <c r="Y249" s="6" t="s">
        <v>153</v>
      </c>
      <c r="Z249" s="6" t="s">
        <v>311</v>
      </c>
      <c r="AA249" s="6" t="s">
        <v>166</v>
      </c>
      <c r="AB249" s="6" t="s">
        <v>166</v>
      </c>
      <c r="AC249" s="6" t="s">
        <v>79</v>
      </c>
      <c r="AD249" s="6" t="s">
        <v>298</v>
      </c>
    </row>
    <row r="250" spans="1:30" s="6" customFormat="1">
      <c r="A250" s="6" t="s">
        <v>73</v>
      </c>
      <c r="B250" s="6" t="s">
        <v>153</v>
      </c>
      <c r="C250" s="6" t="s">
        <v>260</v>
      </c>
      <c r="D250" s="6" t="s">
        <v>260</v>
      </c>
      <c r="E250" s="6" t="s">
        <v>317</v>
      </c>
      <c r="F250" s="6" t="s">
        <v>296</v>
      </c>
      <c r="G250" s="6" t="s">
        <v>157</v>
      </c>
      <c r="H250" s="6" t="s">
        <v>237</v>
      </c>
      <c r="I250" s="6" t="s">
        <v>238</v>
      </c>
      <c r="J250" s="6" t="s">
        <v>239</v>
      </c>
      <c r="K250" s="6" t="s">
        <v>240</v>
      </c>
      <c r="L250" s="6" t="s">
        <v>241</v>
      </c>
      <c r="M250" s="6" t="s">
        <v>239</v>
      </c>
      <c r="N250" s="6" t="s">
        <v>78</v>
      </c>
      <c r="O250" s="6" t="s">
        <v>174</v>
      </c>
      <c r="P250" s="67">
        <v>-120000</v>
      </c>
      <c r="Q250" s="67">
        <v>-1481.47</v>
      </c>
      <c r="R250" s="6">
        <v>1.23456E-2</v>
      </c>
      <c r="S250" s="6" t="s">
        <v>164</v>
      </c>
      <c r="T250" s="6" t="s">
        <v>153</v>
      </c>
      <c r="U250" s="6" t="s">
        <v>76</v>
      </c>
      <c r="V250" s="6" t="s">
        <v>80</v>
      </c>
      <c r="W250" s="6" t="s">
        <v>294</v>
      </c>
      <c r="X250" s="6" t="s">
        <v>81</v>
      </c>
      <c r="Y250" s="6" t="s">
        <v>153</v>
      </c>
      <c r="Z250" s="6" t="s">
        <v>311</v>
      </c>
      <c r="AA250" s="6" t="s">
        <v>166</v>
      </c>
      <c r="AB250" s="6" t="s">
        <v>166</v>
      </c>
      <c r="AC250" s="6" t="s">
        <v>79</v>
      </c>
      <c r="AD250" s="6" t="s">
        <v>298</v>
      </c>
    </row>
    <row r="251" spans="1:30" s="6" customFormat="1">
      <c r="A251" s="6" t="s">
        <v>73</v>
      </c>
      <c r="B251" s="6" t="s">
        <v>153</v>
      </c>
      <c r="C251" s="6" t="s">
        <v>260</v>
      </c>
      <c r="D251" s="6" t="s">
        <v>260</v>
      </c>
      <c r="E251" s="6" t="s">
        <v>318</v>
      </c>
      <c r="F251" s="6" t="s">
        <v>296</v>
      </c>
      <c r="G251" s="6" t="s">
        <v>157</v>
      </c>
      <c r="H251" s="6" t="s">
        <v>183</v>
      </c>
      <c r="I251" s="6" t="s">
        <v>246</v>
      </c>
      <c r="J251" s="6" t="s">
        <v>247</v>
      </c>
      <c r="K251" s="6" t="s">
        <v>248</v>
      </c>
      <c r="L251" s="6" t="s">
        <v>249</v>
      </c>
      <c r="M251" s="6" t="s">
        <v>247</v>
      </c>
      <c r="N251" s="6" t="s">
        <v>78</v>
      </c>
      <c r="O251" s="6" t="s">
        <v>163</v>
      </c>
      <c r="P251" s="67">
        <v>120000</v>
      </c>
      <c r="Q251" s="67">
        <v>1481.47</v>
      </c>
      <c r="R251" s="6">
        <v>1.23456E-2</v>
      </c>
      <c r="S251" s="6" t="s">
        <v>164</v>
      </c>
      <c r="T251" s="6" t="s">
        <v>153</v>
      </c>
      <c r="U251" s="6" t="s">
        <v>76</v>
      </c>
      <c r="V251" s="6" t="s">
        <v>80</v>
      </c>
      <c r="W251" s="6" t="s">
        <v>294</v>
      </c>
      <c r="X251" s="6" t="s">
        <v>81</v>
      </c>
      <c r="Y251" s="6" t="s">
        <v>153</v>
      </c>
      <c r="Z251" s="6" t="s">
        <v>319</v>
      </c>
      <c r="AA251" s="6" t="s">
        <v>166</v>
      </c>
      <c r="AB251" s="6" t="s">
        <v>166</v>
      </c>
      <c r="AC251" s="6" t="s">
        <v>79</v>
      </c>
      <c r="AD251" s="6" t="s">
        <v>298</v>
      </c>
    </row>
    <row r="252" spans="1:30" s="6" customFormat="1">
      <c r="A252" s="6" t="s">
        <v>73</v>
      </c>
      <c r="B252" s="6" t="s">
        <v>153</v>
      </c>
      <c r="C252" s="6" t="s">
        <v>260</v>
      </c>
      <c r="D252" s="6" t="s">
        <v>260</v>
      </c>
      <c r="E252" s="6" t="s">
        <v>320</v>
      </c>
      <c r="F252" s="6" t="s">
        <v>296</v>
      </c>
      <c r="G252" s="6" t="s">
        <v>157</v>
      </c>
      <c r="H252" s="6" t="s">
        <v>158</v>
      </c>
      <c r="I252" s="6" t="s">
        <v>159</v>
      </c>
      <c r="J252" s="6" t="s">
        <v>160</v>
      </c>
      <c r="K252" s="6" t="s">
        <v>161</v>
      </c>
      <c r="L252" s="6" t="s">
        <v>162</v>
      </c>
      <c r="M252" s="6" t="s">
        <v>160</v>
      </c>
      <c r="N252" s="6" t="s">
        <v>78</v>
      </c>
      <c r="O252" s="6" t="s">
        <v>163</v>
      </c>
      <c r="P252" s="67">
        <v>5000</v>
      </c>
      <c r="Q252" s="67">
        <v>61.73</v>
      </c>
      <c r="R252" s="6">
        <v>1.23456E-2</v>
      </c>
      <c r="S252" s="6" t="s">
        <v>164</v>
      </c>
      <c r="T252" s="6" t="s">
        <v>153</v>
      </c>
      <c r="U252" s="6" t="s">
        <v>76</v>
      </c>
      <c r="V252" s="6" t="s">
        <v>80</v>
      </c>
      <c r="W252" s="6" t="s">
        <v>294</v>
      </c>
      <c r="X252" s="6" t="s">
        <v>81</v>
      </c>
      <c r="Y252" s="6" t="s">
        <v>153</v>
      </c>
      <c r="Z252" s="6" t="s">
        <v>321</v>
      </c>
      <c r="AA252" s="6" t="s">
        <v>166</v>
      </c>
      <c r="AB252" s="6" t="s">
        <v>166</v>
      </c>
      <c r="AC252" s="6" t="s">
        <v>79</v>
      </c>
      <c r="AD252" s="6" t="s">
        <v>298</v>
      </c>
    </row>
    <row r="253" spans="1:30" s="6" customFormat="1">
      <c r="A253" s="6" t="s">
        <v>73</v>
      </c>
      <c r="B253" s="6" t="s">
        <v>153</v>
      </c>
      <c r="C253" s="6" t="s">
        <v>260</v>
      </c>
      <c r="D253" s="6" t="s">
        <v>260</v>
      </c>
      <c r="E253" s="6" t="s">
        <v>322</v>
      </c>
      <c r="F253" s="6" t="s">
        <v>296</v>
      </c>
      <c r="G253" s="6" t="s">
        <v>157</v>
      </c>
      <c r="H253" s="6" t="s">
        <v>169</v>
      </c>
      <c r="I253" s="6" t="s">
        <v>170</v>
      </c>
      <c r="J253" s="6" t="s">
        <v>171</v>
      </c>
      <c r="K253" s="6" t="s">
        <v>172</v>
      </c>
      <c r="L253" s="6" t="s">
        <v>173</v>
      </c>
      <c r="M253" s="6" t="s">
        <v>171</v>
      </c>
      <c r="N253" s="6" t="s">
        <v>78</v>
      </c>
      <c r="O253" s="6" t="s">
        <v>174</v>
      </c>
      <c r="P253" s="67">
        <v>-5000</v>
      </c>
      <c r="Q253" s="67">
        <v>-61.73</v>
      </c>
      <c r="R253" s="6">
        <v>1.23456E-2</v>
      </c>
      <c r="S253" s="6" t="s">
        <v>164</v>
      </c>
      <c r="T253" s="6" t="s">
        <v>153</v>
      </c>
      <c r="U253" s="6" t="s">
        <v>76</v>
      </c>
      <c r="V253" s="6" t="s">
        <v>80</v>
      </c>
      <c r="W253" s="6" t="s">
        <v>294</v>
      </c>
      <c r="X253" s="6" t="s">
        <v>81</v>
      </c>
      <c r="Y253" s="6" t="s">
        <v>153</v>
      </c>
      <c r="Z253" s="6" t="s">
        <v>323</v>
      </c>
      <c r="AA253" s="6" t="s">
        <v>166</v>
      </c>
      <c r="AB253" s="6" t="s">
        <v>166</v>
      </c>
      <c r="AC253" s="6" t="s">
        <v>79</v>
      </c>
      <c r="AD253" s="6" t="s">
        <v>298</v>
      </c>
    </row>
    <row r="254" spans="1:30" s="6" customFormat="1">
      <c r="A254" s="6" t="s">
        <v>73</v>
      </c>
      <c r="B254" s="6" t="s">
        <v>153</v>
      </c>
      <c r="C254" s="6" t="s">
        <v>260</v>
      </c>
      <c r="D254" s="6" t="s">
        <v>260</v>
      </c>
      <c r="E254" s="6" t="s">
        <v>324</v>
      </c>
      <c r="F254" s="6" t="s">
        <v>296</v>
      </c>
      <c r="G254" s="6" t="s">
        <v>157</v>
      </c>
      <c r="H254" s="6" t="s">
        <v>158</v>
      </c>
      <c r="I254" s="6" t="s">
        <v>177</v>
      </c>
      <c r="J254" s="6" t="s">
        <v>178</v>
      </c>
      <c r="K254" s="6" t="s">
        <v>179</v>
      </c>
      <c r="L254" s="6" t="s">
        <v>180</v>
      </c>
      <c r="M254" s="6" t="s">
        <v>178</v>
      </c>
      <c r="N254" s="6" t="s">
        <v>78</v>
      </c>
      <c r="O254" s="6" t="s">
        <v>174</v>
      </c>
      <c r="P254" s="67">
        <v>-2630000</v>
      </c>
      <c r="Q254" s="67">
        <v>-32468.93</v>
      </c>
      <c r="R254" s="6">
        <v>1.23456E-2</v>
      </c>
      <c r="S254" s="6" t="s">
        <v>164</v>
      </c>
      <c r="T254" s="6" t="s">
        <v>153</v>
      </c>
      <c r="U254" s="6" t="s">
        <v>76</v>
      </c>
      <c r="V254" s="6" t="s">
        <v>80</v>
      </c>
      <c r="W254" s="6" t="s">
        <v>294</v>
      </c>
      <c r="X254" s="6" t="s">
        <v>81</v>
      </c>
      <c r="Y254" s="6" t="s">
        <v>153</v>
      </c>
      <c r="Z254" s="6" t="s">
        <v>325</v>
      </c>
      <c r="AA254" s="6" t="s">
        <v>166</v>
      </c>
      <c r="AB254" s="6" t="s">
        <v>166</v>
      </c>
      <c r="AC254" s="6" t="s">
        <v>79</v>
      </c>
      <c r="AD254" s="6" t="s">
        <v>298</v>
      </c>
    </row>
    <row r="255" spans="1:30" s="6" customFormat="1">
      <c r="A255" s="6" t="s">
        <v>73</v>
      </c>
      <c r="B255" s="6" t="s">
        <v>153</v>
      </c>
      <c r="C255" s="6" t="s">
        <v>260</v>
      </c>
      <c r="D255" s="6" t="s">
        <v>260</v>
      </c>
      <c r="E255" s="6" t="s">
        <v>326</v>
      </c>
      <c r="F255" s="6" t="s">
        <v>296</v>
      </c>
      <c r="G255" s="6" t="s">
        <v>157</v>
      </c>
      <c r="H255" s="6" t="s">
        <v>183</v>
      </c>
      <c r="I255" s="6" t="s">
        <v>184</v>
      </c>
      <c r="J255" s="6" t="s">
        <v>185</v>
      </c>
      <c r="K255" s="6" t="s">
        <v>186</v>
      </c>
      <c r="L255" s="6" t="s">
        <v>187</v>
      </c>
      <c r="M255" s="6" t="s">
        <v>185</v>
      </c>
      <c r="N255" s="6" t="s">
        <v>78</v>
      </c>
      <c r="O255" s="6" t="s">
        <v>163</v>
      </c>
      <c r="P255" s="67">
        <v>2630000</v>
      </c>
      <c r="Q255" s="67">
        <v>31161.14</v>
      </c>
      <c r="R255" s="6">
        <v>1.23456E-2</v>
      </c>
      <c r="S255" s="6" t="s">
        <v>164</v>
      </c>
      <c r="T255" s="6" t="s">
        <v>153</v>
      </c>
      <c r="U255" s="6" t="s">
        <v>76</v>
      </c>
      <c r="V255" s="6" t="s">
        <v>80</v>
      </c>
      <c r="W255" s="6" t="s">
        <v>294</v>
      </c>
      <c r="X255" s="6" t="s">
        <v>81</v>
      </c>
      <c r="Y255" s="6" t="s">
        <v>153</v>
      </c>
      <c r="Z255" s="6" t="s">
        <v>325</v>
      </c>
      <c r="AA255" s="6" t="s">
        <v>166</v>
      </c>
      <c r="AB255" s="6" t="s">
        <v>166</v>
      </c>
      <c r="AC255" s="6" t="s">
        <v>79</v>
      </c>
      <c r="AD255" s="6" t="s">
        <v>298</v>
      </c>
    </row>
    <row r="257" spans="1:73">
      <c r="P257" s="107" t="e">
        <f>#REF!-#REF!</f>
        <v>#REF!</v>
      </c>
      <c r="R257" s="107" t="e">
        <f>#REF!-#REF!</f>
        <v>#REF!</v>
      </c>
    </row>
    <row r="258" spans="1:73">
      <c r="A258" s="137" t="s">
        <v>197</v>
      </c>
    </row>
    <row r="260" spans="1:73" s="6" customFormat="1" ht="32" customHeight="1">
      <c r="A260" s="46" t="s">
        <v>124</v>
      </c>
      <c r="B260" s="46" t="s">
        <v>198</v>
      </c>
      <c r="C260" s="46" t="s">
        <v>199</v>
      </c>
      <c r="D260" s="46" t="s">
        <v>200</v>
      </c>
      <c r="E260" s="46" t="s">
        <v>127</v>
      </c>
      <c r="F260" s="46" t="s">
        <v>201</v>
      </c>
      <c r="G260" s="46" t="s">
        <v>202</v>
      </c>
      <c r="H260" s="46" t="s">
        <v>203</v>
      </c>
      <c r="I260" s="46" t="s">
        <v>92</v>
      </c>
      <c r="J260" s="46" t="s">
        <v>204</v>
      </c>
      <c r="K260" s="58" t="s">
        <v>100</v>
      </c>
      <c r="L260" s="46" t="s">
        <v>142</v>
      </c>
      <c r="M260" s="121" t="s">
        <v>205</v>
      </c>
      <c r="N260" s="121"/>
      <c r="O260" s="121" t="s">
        <v>113</v>
      </c>
      <c r="P260" s="121"/>
      <c r="Q260" s="121" t="s">
        <v>146</v>
      </c>
      <c r="R260" s="121"/>
      <c r="S260" s="121" t="s">
        <v>206</v>
      </c>
      <c r="T260" s="121"/>
      <c r="U260" s="46" t="s">
        <v>207</v>
      </c>
      <c r="V260" s="46" t="s">
        <v>208</v>
      </c>
      <c r="W260" s="46" t="s">
        <v>209</v>
      </c>
      <c r="X260" s="122" t="s">
        <v>98</v>
      </c>
      <c r="Y260" s="122"/>
      <c r="Z260" s="122" t="s">
        <v>210</v>
      </c>
      <c r="AA260" s="122"/>
      <c r="AB260" s="122" t="s">
        <v>211</v>
      </c>
      <c r="AC260" s="122"/>
      <c r="AD260" s="58" t="s">
        <v>212</v>
      </c>
      <c r="AE260" s="58" t="s">
        <v>213</v>
      </c>
      <c r="AF260" s="58" t="s">
        <v>214</v>
      </c>
      <c r="AG260" s="58" t="s">
        <v>215</v>
      </c>
      <c r="AH260" s="58" t="s">
        <v>216</v>
      </c>
      <c r="AI260" s="58" t="s">
        <v>217</v>
      </c>
      <c r="AJ260" s="58" t="s">
        <v>218</v>
      </c>
      <c r="AK260" s="58" t="s">
        <v>219</v>
      </c>
      <c r="AL260" s="58" t="s">
        <v>220</v>
      </c>
      <c r="AM260" s="58" t="s">
        <v>221</v>
      </c>
      <c r="AN260" s="58" t="s">
        <v>222</v>
      </c>
      <c r="AO260" s="73" t="s">
        <v>223</v>
      </c>
      <c r="AP260" s="74"/>
      <c r="AQ260" s="122" t="s">
        <v>224</v>
      </c>
      <c r="AR260" s="122"/>
      <c r="AS260" s="75" t="s">
        <v>225</v>
      </c>
    </row>
    <row r="261" spans="1:73" s="6" customFormat="1" ht="27" customHeight="1">
      <c r="A261" s="47" t="s">
        <v>73</v>
      </c>
      <c r="B261" s="47" t="s">
        <v>226</v>
      </c>
      <c r="C261" s="47" t="s">
        <v>227</v>
      </c>
      <c r="D261" s="47" t="s">
        <v>228</v>
      </c>
      <c r="E261" s="48">
        <v>45627</v>
      </c>
      <c r="F261" s="48">
        <v>45627</v>
      </c>
      <c r="G261" s="47" t="s">
        <v>296</v>
      </c>
      <c r="H261" s="47" t="s">
        <v>294</v>
      </c>
      <c r="I261" s="47" t="s">
        <v>76</v>
      </c>
      <c r="J261" s="47" t="s">
        <v>229</v>
      </c>
      <c r="K261" s="59">
        <v>300</v>
      </c>
      <c r="L261" s="60" t="s">
        <v>164</v>
      </c>
      <c r="N261" s="123" t="s">
        <v>230</v>
      </c>
      <c r="O261" s="123"/>
      <c r="P261" s="123" t="s">
        <v>82</v>
      </c>
      <c r="Q261" s="123"/>
      <c r="R261" s="123" t="s">
        <v>81</v>
      </c>
      <c r="S261" s="123"/>
      <c r="T261" s="124" t="s">
        <v>231</v>
      </c>
      <c r="U261" s="124"/>
      <c r="Y261" s="125">
        <v>5000</v>
      </c>
      <c r="Z261" s="125"/>
      <c r="AA261" s="126">
        <v>300</v>
      </c>
      <c r="AB261" s="126"/>
      <c r="AC261" s="59">
        <v>18518.400000000001</v>
      </c>
      <c r="AD261" s="59" t="s">
        <v>232</v>
      </c>
      <c r="AE261" s="59">
        <v>61.73</v>
      </c>
      <c r="AF261" s="70">
        <v>0.333344133402454</v>
      </c>
      <c r="AG261" s="59">
        <v>61.73</v>
      </c>
      <c r="AH261" s="59">
        <v>0</v>
      </c>
      <c r="AI261" s="59">
        <v>0</v>
      </c>
      <c r="AJ261" s="59">
        <v>1495000</v>
      </c>
      <c r="AK261" s="59">
        <v>18456.669999999998</v>
      </c>
      <c r="AL261" s="59">
        <v>2630000</v>
      </c>
      <c r="AM261" s="59">
        <v>31161.14</v>
      </c>
      <c r="AN261" s="59">
        <v>-1135000</v>
      </c>
      <c r="AO261" s="59">
        <v>-14012.26</v>
      </c>
      <c r="AQ261" s="125">
        <v>0</v>
      </c>
      <c r="AR261" s="125"/>
      <c r="AS261" s="59">
        <v>0</v>
      </c>
    </row>
    <row r="262" spans="1:73">
      <c r="AC262" s="107">
        <f>Y261*AA261*R255</f>
        <v>18518.400000000001</v>
      </c>
    </row>
    <row r="265" spans="1:73">
      <c r="A265" s="137" t="s">
        <v>293</v>
      </c>
    </row>
    <row r="267" spans="1:73" s="8" customFormat="1">
      <c r="A267" s="76" t="s">
        <v>0</v>
      </c>
      <c r="B267" s="76" t="s">
        <v>1</v>
      </c>
      <c r="C267" s="76" t="s">
        <v>2</v>
      </c>
      <c r="D267" s="76" t="s">
        <v>3</v>
      </c>
      <c r="E267" s="77" t="s">
        <v>4</v>
      </c>
      <c r="F267" s="76" t="s">
        <v>5</v>
      </c>
      <c r="G267" s="76" t="s">
        <v>6</v>
      </c>
      <c r="H267" s="76" t="s">
        <v>7</v>
      </c>
      <c r="I267" s="76" t="s">
        <v>8</v>
      </c>
      <c r="J267" s="76" t="s">
        <v>9</v>
      </c>
      <c r="K267" s="76" t="s">
        <v>10</v>
      </c>
      <c r="L267" s="76" t="s">
        <v>11</v>
      </c>
      <c r="M267" s="76" t="s">
        <v>12</v>
      </c>
      <c r="N267" s="76" t="s">
        <v>13</v>
      </c>
      <c r="O267" s="77" t="s">
        <v>14</v>
      </c>
      <c r="P267" s="77" t="s">
        <v>15</v>
      </c>
      <c r="Q267" s="76" t="s">
        <v>16</v>
      </c>
      <c r="R267" s="76" t="s">
        <v>17</v>
      </c>
      <c r="S267" s="77" t="s">
        <v>18</v>
      </c>
      <c r="T267" s="76" t="s">
        <v>19</v>
      </c>
      <c r="U267" s="76" t="s">
        <v>20</v>
      </c>
      <c r="V267" s="76" t="s">
        <v>21</v>
      </c>
      <c r="W267" s="76" t="s">
        <v>22</v>
      </c>
      <c r="X267" s="76" t="s">
        <v>23</v>
      </c>
      <c r="Y267" s="76" t="s">
        <v>24</v>
      </c>
      <c r="Z267" s="76" t="s">
        <v>25</v>
      </c>
      <c r="AA267" s="76" t="s">
        <v>26</v>
      </c>
      <c r="AB267" s="76" t="s">
        <v>27</v>
      </c>
      <c r="AC267" s="77" t="s">
        <v>28</v>
      </c>
      <c r="AD267" s="77" t="s">
        <v>29</v>
      </c>
      <c r="AE267" s="77" t="s">
        <v>30</v>
      </c>
      <c r="AF267" s="77" t="s">
        <v>31</v>
      </c>
      <c r="AG267" s="77" t="s">
        <v>32</v>
      </c>
      <c r="AH267" s="76" t="s">
        <v>33</v>
      </c>
      <c r="AI267" s="76" t="s">
        <v>34</v>
      </c>
      <c r="AJ267" s="76" t="s">
        <v>35</v>
      </c>
      <c r="AK267" s="76" t="s">
        <v>36</v>
      </c>
      <c r="AL267" s="76" t="s">
        <v>37</v>
      </c>
      <c r="AM267" s="85" t="s">
        <v>38</v>
      </c>
      <c r="AN267" s="76" t="s">
        <v>39</v>
      </c>
      <c r="AO267" s="76" t="s">
        <v>40</v>
      </c>
      <c r="AP267" s="76" t="s">
        <v>41</v>
      </c>
      <c r="AQ267" s="76" t="s">
        <v>42</v>
      </c>
      <c r="AR267" s="87" t="s">
        <v>43</v>
      </c>
      <c r="AS267" s="76" t="s">
        <v>44</v>
      </c>
      <c r="AT267" s="87" t="s">
        <v>45</v>
      </c>
      <c r="AU267" s="76" t="s">
        <v>46</v>
      </c>
      <c r="AV267" s="76" t="s">
        <v>47</v>
      </c>
      <c r="AW267" s="76" t="s">
        <v>48</v>
      </c>
      <c r="AX267" s="87" t="s">
        <v>49</v>
      </c>
      <c r="AY267" s="76" t="s">
        <v>50</v>
      </c>
      <c r="AZ267" s="87" t="s">
        <v>51</v>
      </c>
      <c r="BA267" s="76" t="s">
        <v>52</v>
      </c>
      <c r="BB267" s="76" t="s">
        <v>53</v>
      </c>
      <c r="BC267" s="76" t="s">
        <v>54</v>
      </c>
      <c r="BD267" s="76" t="s">
        <v>55</v>
      </c>
      <c r="BE267" s="76" t="s">
        <v>56</v>
      </c>
      <c r="BF267" s="76" t="s">
        <v>57</v>
      </c>
      <c r="BG267" s="76" t="s">
        <v>58</v>
      </c>
      <c r="BH267" s="76" t="s">
        <v>59</v>
      </c>
      <c r="BI267" s="76" t="s">
        <v>60</v>
      </c>
      <c r="BJ267" s="76" t="s">
        <v>61</v>
      </c>
      <c r="BK267" s="76" t="s">
        <v>62</v>
      </c>
      <c r="BL267" s="76" t="s">
        <v>63</v>
      </c>
      <c r="BM267" s="76" t="s">
        <v>64</v>
      </c>
      <c r="BN267" s="76" t="s">
        <v>65</v>
      </c>
      <c r="BO267" s="76" t="s">
        <v>66</v>
      </c>
      <c r="BP267" s="76" t="s">
        <v>67</v>
      </c>
      <c r="BQ267" s="76" t="s">
        <v>68</v>
      </c>
      <c r="BR267" s="76" t="s">
        <v>69</v>
      </c>
      <c r="BS267" s="76" t="s">
        <v>70</v>
      </c>
      <c r="BT267" s="76" t="s">
        <v>71</v>
      </c>
      <c r="BU267" s="76" t="s">
        <v>72</v>
      </c>
    </row>
    <row r="268" spans="1:73" s="9" customFormat="1" ht="15" customHeight="1">
      <c r="A268" s="9" t="s">
        <v>73</v>
      </c>
      <c r="B268" s="9" t="s">
        <v>74</v>
      </c>
      <c r="C268" s="9" t="s">
        <v>75</v>
      </c>
      <c r="D268" s="9">
        <v>30</v>
      </c>
      <c r="E268" s="78" t="s">
        <v>76</v>
      </c>
      <c r="F268" s="9" t="s">
        <v>77</v>
      </c>
      <c r="G268" s="9" t="s">
        <v>78</v>
      </c>
      <c r="H268" s="9" t="s">
        <v>79</v>
      </c>
      <c r="I268" s="9" t="s">
        <v>80</v>
      </c>
      <c r="J268" s="53"/>
      <c r="K268" s="53"/>
      <c r="L268" s="53"/>
      <c r="M268" s="53"/>
      <c r="N268" s="79"/>
      <c r="O268" s="53">
        <v>5000</v>
      </c>
      <c r="P268" s="79">
        <v>300</v>
      </c>
      <c r="Q268" s="9">
        <v>0</v>
      </c>
      <c r="R268" s="81">
        <f>O268*P268</f>
        <v>1500000</v>
      </c>
      <c r="S268" s="6">
        <v>1.23456E-2</v>
      </c>
      <c r="T268" s="81">
        <f>R268*S268</f>
        <v>18518.400000000001</v>
      </c>
      <c r="U268" s="82">
        <v>0</v>
      </c>
      <c r="V268" s="82">
        <v>0</v>
      </c>
      <c r="W268" s="83">
        <f>O268*P268</f>
        <v>1500000</v>
      </c>
      <c r="X268" s="81">
        <f>W268*S268</f>
        <v>18518.400000000001</v>
      </c>
      <c r="Y268" s="9" t="s">
        <v>81</v>
      </c>
      <c r="Z268" s="9" t="s">
        <v>82</v>
      </c>
      <c r="AA268" s="9" t="s">
        <v>83</v>
      </c>
      <c r="AB268" s="9" t="s">
        <v>84</v>
      </c>
      <c r="AC268" s="53" t="s">
        <v>294</v>
      </c>
      <c r="AD268" s="84">
        <v>45627</v>
      </c>
      <c r="AE268" s="84">
        <v>45627</v>
      </c>
      <c r="AF268" s="84">
        <v>45627</v>
      </c>
      <c r="AG268" s="84">
        <v>45832</v>
      </c>
      <c r="AH268" s="9" t="s">
        <v>86</v>
      </c>
      <c r="AI268" s="9" t="s">
        <v>87</v>
      </c>
      <c r="AJ268" s="6">
        <v>1.23456E-2</v>
      </c>
      <c r="AK268" s="86">
        <f>W268*AJ268</f>
        <v>18518.400000000001</v>
      </c>
      <c r="AM268" s="109">
        <v>45627</v>
      </c>
      <c r="AN268" s="82">
        <v>0</v>
      </c>
      <c r="AO268" s="82">
        <v>0</v>
      </c>
      <c r="AR268" s="88" t="s">
        <v>88</v>
      </c>
      <c r="AS268" s="9" t="s">
        <v>78</v>
      </c>
      <c r="AT268" s="53">
        <v>5000</v>
      </c>
      <c r="AU268" s="53">
        <v>5000</v>
      </c>
      <c r="AV268" s="6">
        <v>1.23456E-2</v>
      </c>
      <c r="AW268" s="82">
        <v>0</v>
      </c>
      <c r="AX268" s="88" t="s">
        <v>89</v>
      </c>
      <c r="AY268" s="9" t="s">
        <v>78</v>
      </c>
      <c r="AZ268" s="53">
        <v>5000</v>
      </c>
      <c r="BA268" s="53">
        <v>5000</v>
      </c>
      <c r="BB268" s="6">
        <v>1.23456E-2</v>
      </c>
      <c r="BC268" s="82">
        <v>0</v>
      </c>
      <c r="BD268" s="89"/>
      <c r="BE268" s="89"/>
      <c r="BF268" s="82">
        <v>0</v>
      </c>
      <c r="BG268" s="82">
        <v>0</v>
      </c>
      <c r="BH268" s="9">
        <v>0</v>
      </c>
      <c r="BI268" s="82">
        <v>0</v>
      </c>
      <c r="BJ268" s="89"/>
      <c r="BK268" s="89"/>
      <c r="BL268" s="82">
        <v>0</v>
      </c>
      <c r="BM268" s="82">
        <v>0</v>
      </c>
      <c r="BN268" s="9">
        <v>0</v>
      </c>
      <c r="BO268" s="82">
        <v>0</v>
      </c>
      <c r="BP268" s="89"/>
      <c r="BQ268" s="89"/>
      <c r="BR268" s="82">
        <v>0</v>
      </c>
      <c r="BS268" s="82">
        <v>0</v>
      </c>
      <c r="BT268" s="9">
        <v>0</v>
      </c>
      <c r="BU268" s="82">
        <v>0</v>
      </c>
    </row>
    <row r="303" spans="1:30">
      <c r="A303" s="137" t="s">
        <v>123</v>
      </c>
    </row>
    <row r="304" spans="1:30" s="6" customFormat="1">
      <c r="A304" s="96" t="s">
        <v>124</v>
      </c>
      <c r="B304" s="96" t="s">
        <v>125</v>
      </c>
      <c r="C304" s="96" t="s">
        <v>126</v>
      </c>
      <c r="D304" s="96" t="s">
        <v>127</v>
      </c>
      <c r="E304" s="96" t="s">
        <v>128</v>
      </c>
      <c r="F304" s="96" t="s">
        <v>129</v>
      </c>
      <c r="G304" s="96" t="s">
        <v>130</v>
      </c>
      <c r="H304" s="96" t="s">
        <v>131</v>
      </c>
      <c r="I304" s="96" t="s">
        <v>132</v>
      </c>
      <c r="J304" s="96" t="s">
        <v>133</v>
      </c>
      <c r="K304" s="96" t="s">
        <v>134</v>
      </c>
      <c r="L304" s="96" t="s">
        <v>135</v>
      </c>
      <c r="M304" s="96" t="s">
        <v>136</v>
      </c>
      <c r="N304" s="96" t="s">
        <v>137</v>
      </c>
      <c r="O304" s="96" t="s">
        <v>138</v>
      </c>
      <c r="P304" s="96" t="s">
        <v>139</v>
      </c>
      <c r="Q304" s="96" t="s">
        <v>140</v>
      </c>
      <c r="R304" s="96" t="s">
        <v>141</v>
      </c>
      <c r="S304" s="96" t="s">
        <v>142</v>
      </c>
      <c r="T304" s="96" t="s">
        <v>143</v>
      </c>
      <c r="U304" s="96" t="s">
        <v>92</v>
      </c>
      <c r="V304" s="96" t="s">
        <v>144</v>
      </c>
      <c r="W304" s="96" t="s">
        <v>145</v>
      </c>
      <c r="X304" s="96" t="s">
        <v>146</v>
      </c>
      <c r="Y304" s="96" t="s">
        <v>147</v>
      </c>
      <c r="Z304" s="96" t="s">
        <v>148</v>
      </c>
      <c r="AA304" s="96" t="s">
        <v>149</v>
      </c>
      <c r="AB304" s="96" t="s">
        <v>150</v>
      </c>
      <c r="AC304" s="96" t="s">
        <v>151</v>
      </c>
      <c r="AD304" s="96" t="s">
        <v>152</v>
      </c>
    </row>
    <row r="305" spans="1:30" s="6" customFormat="1">
      <c r="A305" s="6" t="s">
        <v>73</v>
      </c>
      <c r="B305" s="6" t="s">
        <v>153</v>
      </c>
      <c r="C305" s="6" t="s">
        <v>260</v>
      </c>
      <c r="D305" s="6" t="s">
        <v>260</v>
      </c>
      <c r="E305" s="6" t="s">
        <v>327</v>
      </c>
      <c r="F305" s="6" t="s">
        <v>328</v>
      </c>
      <c r="G305" s="6" t="s">
        <v>157</v>
      </c>
      <c r="H305" s="6" t="s">
        <v>237</v>
      </c>
      <c r="I305" s="6" t="s">
        <v>263</v>
      </c>
      <c r="J305" s="6" t="s">
        <v>264</v>
      </c>
      <c r="K305" s="6" t="s">
        <v>265</v>
      </c>
      <c r="L305" s="6" t="s">
        <v>266</v>
      </c>
      <c r="M305" s="6" t="s">
        <v>264</v>
      </c>
      <c r="N305" s="6" t="s">
        <v>78</v>
      </c>
      <c r="O305" s="6" t="s">
        <v>163</v>
      </c>
      <c r="P305" s="67">
        <v>0</v>
      </c>
      <c r="Q305" s="67">
        <v>-1307.79</v>
      </c>
      <c r="R305" s="6">
        <v>1.23456E-2</v>
      </c>
      <c r="S305" s="6" t="s">
        <v>164</v>
      </c>
      <c r="T305" s="6" t="s">
        <v>153</v>
      </c>
      <c r="U305" s="6" t="s">
        <v>76</v>
      </c>
      <c r="V305" s="6" t="s">
        <v>80</v>
      </c>
      <c r="W305" s="6" t="s">
        <v>294</v>
      </c>
      <c r="X305" s="6" t="s">
        <v>81</v>
      </c>
      <c r="Y305" s="6" t="s">
        <v>153</v>
      </c>
      <c r="Z305" s="6" t="s">
        <v>297</v>
      </c>
      <c r="AA305" s="6" t="s">
        <v>166</v>
      </c>
      <c r="AB305" s="6" t="s">
        <v>166</v>
      </c>
      <c r="AC305" s="6" t="s">
        <v>79</v>
      </c>
      <c r="AD305" s="6" t="s">
        <v>329</v>
      </c>
    </row>
    <row r="306" spans="1:30" s="6" customFormat="1">
      <c r="A306" s="6" t="s">
        <v>73</v>
      </c>
      <c r="B306" s="6" t="s">
        <v>153</v>
      </c>
      <c r="C306" s="6" t="s">
        <v>260</v>
      </c>
      <c r="D306" s="6" t="s">
        <v>260</v>
      </c>
      <c r="E306" s="6" t="s">
        <v>330</v>
      </c>
      <c r="F306" s="6" t="s">
        <v>328</v>
      </c>
      <c r="G306" s="6" t="s">
        <v>157</v>
      </c>
      <c r="H306" s="6" t="s">
        <v>183</v>
      </c>
      <c r="I306" s="6" t="s">
        <v>269</v>
      </c>
      <c r="J306" s="6" t="s">
        <v>270</v>
      </c>
      <c r="K306" s="6" t="s">
        <v>271</v>
      </c>
      <c r="L306" s="6" t="s">
        <v>272</v>
      </c>
      <c r="M306" s="6" t="s">
        <v>270</v>
      </c>
      <c r="N306" s="6" t="s">
        <v>78</v>
      </c>
      <c r="O306" s="6" t="s">
        <v>163</v>
      </c>
      <c r="P306" s="67">
        <v>0</v>
      </c>
      <c r="Q306" s="67">
        <v>1307.79</v>
      </c>
      <c r="R306" s="6">
        <v>1.23456E-2</v>
      </c>
      <c r="S306" s="6" t="s">
        <v>164</v>
      </c>
      <c r="T306" s="6" t="s">
        <v>153</v>
      </c>
      <c r="U306" s="6" t="s">
        <v>76</v>
      </c>
      <c r="V306" s="6" t="s">
        <v>80</v>
      </c>
      <c r="W306" s="6" t="s">
        <v>294</v>
      </c>
      <c r="X306" s="6" t="s">
        <v>81</v>
      </c>
      <c r="Y306" s="6" t="s">
        <v>153</v>
      </c>
      <c r="Z306" s="6" t="s">
        <v>297</v>
      </c>
      <c r="AA306" s="6" t="s">
        <v>166</v>
      </c>
      <c r="AB306" s="6" t="s">
        <v>166</v>
      </c>
      <c r="AC306" s="6" t="s">
        <v>79</v>
      </c>
      <c r="AD306" s="6" t="s">
        <v>329</v>
      </c>
    </row>
    <row r="307" spans="1:30" s="6" customFormat="1">
      <c r="A307" s="6" t="s">
        <v>73</v>
      </c>
      <c r="B307" s="6" t="s">
        <v>153</v>
      </c>
      <c r="C307" s="6" t="s">
        <v>260</v>
      </c>
      <c r="D307" s="6" t="s">
        <v>260</v>
      </c>
      <c r="E307" s="6" t="s">
        <v>331</v>
      </c>
      <c r="F307" s="6" t="s">
        <v>328</v>
      </c>
      <c r="G307" s="6" t="s">
        <v>157</v>
      </c>
      <c r="H307" s="6" t="s">
        <v>237</v>
      </c>
      <c r="I307" s="6" t="s">
        <v>301</v>
      </c>
      <c r="J307" s="6" t="s">
        <v>302</v>
      </c>
      <c r="K307" s="6" t="s">
        <v>303</v>
      </c>
      <c r="L307" s="6" t="s">
        <v>304</v>
      </c>
      <c r="M307" s="6" t="s">
        <v>302</v>
      </c>
      <c r="N307" s="6" t="s">
        <v>78</v>
      </c>
      <c r="O307" s="6" t="s">
        <v>163</v>
      </c>
      <c r="P307" s="67">
        <v>0</v>
      </c>
      <c r="Q307" s="67">
        <v>1307.8</v>
      </c>
      <c r="R307" s="6">
        <v>1.23456E-2</v>
      </c>
      <c r="S307" s="6" t="s">
        <v>164</v>
      </c>
      <c r="T307" s="6" t="s">
        <v>153</v>
      </c>
      <c r="U307" s="6" t="s">
        <v>76</v>
      </c>
      <c r="V307" s="6" t="s">
        <v>80</v>
      </c>
      <c r="W307" s="6" t="s">
        <v>294</v>
      </c>
      <c r="X307" s="6" t="s">
        <v>81</v>
      </c>
      <c r="Y307" s="6" t="s">
        <v>153</v>
      </c>
      <c r="Z307" s="6" t="s">
        <v>305</v>
      </c>
      <c r="AA307" s="6" t="s">
        <v>166</v>
      </c>
      <c r="AB307" s="6" t="s">
        <v>166</v>
      </c>
      <c r="AC307" s="6" t="s">
        <v>79</v>
      </c>
      <c r="AD307" s="6" t="s">
        <v>329</v>
      </c>
    </row>
    <row r="308" spans="1:30" s="6" customFormat="1">
      <c r="A308" s="6" t="s">
        <v>73</v>
      </c>
      <c r="B308" s="6" t="s">
        <v>153</v>
      </c>
      <c r="C308" s="6" t="s">
        <v>260</v>
      </c>
      <c r="D308" s="6" t="s">
        <v>260</v>
      </c>
      <c r="E308" s="6" t="s">
        <v>332</v>
      </c>
      <c r="F308" s="6" t="s">
        <v>328</v>
      </c>
      <c r="G308" s="6" t="s">
        <v>157</v>
      </c>
      <c r="H308" s="6" t="s">
        <v>183</v>
      </c>
      <c r="I308" s="6" t="s">
        <v>307</v>
      </c>
      <c r="J308" s="6" t="s">
        <v>308</v>
      </c>
      <c r="K308" s="6" t="s">
        <v>309</v>
      </c>
      <c r="L308" s="6" t="s">
        <v>310</v>
      </c>
      <c r="M308" s="6" t="s">
        <v>308</v>
      </c>
      <c r="N308" s="6" t="s">
        <v>78</v>
      </c>
      <c r="O308" s="6" t="s">
        <v>163</v>
      </c>
      <c r="P308" s="67">
        <v>1135000</v>
      </c>
      <c r="Q308" s="67">
        <v>14012.26</v>
      </c>
      <c r="R308" s="6">
        <v>1.23456E-2</v>
      </c>
      <c r="S308" s="6" t="s">
        <v>164</v>
      </c>
      <c r="T308" s="6" t="s">
        <v>153</v>
      </c>
      <c r="U308" s="6" t="s">
        <v>76</v>
      </c>
      <c r="V308" s="6" t="s">
        <v>80</v>
      </c>
      <c r="W308" s="6" t="s">
        <v>294</v>
      </c>
      <c r="X308" s="6" t="s">
        <v>81</v>
      </c>
      <c r="Y308" s="6" t="s">
        <v>153</v>
      </c>
      <c r="Z308" s="6" t="s">
        <v>311</v>
      </c>
      <c r="AA308" s="6" t="s">
        <v>166</v>
      </c>
      <c r="AB308" s="6" t="s">
        <v>166</v>
      </c>
      <c r="AC308" s="6" t="s">
        <v>79</v>
      </c>
      <c r="AD308" s="6" t="s">
        <v>329</v>
      </c>
    </row>
    <row r="309" spans="1:30" s="6" customFormat="1">
      <c r="A309" s="6" t="s">
        <v>73</v>
      </c>
      <c r="B309" s="6" t="s">
        <v>153</v>
      </c>
      <c r="C309" s="6" t="s">
        <v>260</v>
      </c>
      <c r="D309" s="6" t="s">
        <v>260</v>
      </c>
      <c r="E309" s="6" t="s">
        <v>333</v>
      </c>
      <c r="F309" s="6" t="s">
        <v>328</v>
      </c>
      <c r="G309" s="6" t="s">
        <v>157</v>
      </c>
      <c r="H309" s="6" t="s">
        <v>237</v>
      </c>
      <c r="I309" s="6" t="s">
        <v>313</v>
      </c>
      <c r="J309" s="6" t="s">
        <v>314</v>
      </c>
      <c r="K309" s="6" t="s">
        <v>315</v>
      </c>
      <c r="L309" s="6" t="s">
        <v>316</v>
      </c>
      <c r="M309" s="6" t="s">
        <v>314</v>
      </c>
      <c r="N309" s="6" t="s">
        <v>78</v>
      </c>
      <c r="O309" s="6" t="s">
        <v>174</v>
      </c>
      <c r="P309" s="67">
        <v>-1135000</v>
      </c>
      <c r="Q309" s="67">
        <v>-14012.26</v>
      </c>
      <c r="R309" s="6">
        <v>1.23456E-2</v>
      </c>
      <c r="S309" s="6" t="s">
        <v>164</v>
      </c>
      <c r="T309" s="6" t="s">
        <v>153</v>
      </c>
      <c r="U309" s="6" t="s">
        <v>76</v>
      </c>
      <c r="V309" s="6" t="s">
        <v>80</v>
      </c>
      <c r="W309" s="6" t="s">
        <v>294</v>
      </c>
      <c r="X309" s="6" t="s">
        <v>81</v>
      </c>
      <c r="Y309" s="6" t="s">
        <v>153</v>
      </c>
      <c r="Z309" s="6" t="s">
        <v>311</v>
      </c>
      <c r="AA309" s="6" t="s">
        <v>166</v>
      </c>
      <c r="AB309" s="6" t="s">
        <v>166</v>
      </c>
      <c r="AC309" s="6" t="s">
        <v>79</v>
      </c>
      <c r="AD309" s="6" t="s">
        <v>329</v>
      </c>
    </row>
    <row r="310" spans="1:30" s="6" customFormat="1">
      <c r="A310" s="6" t="s">
        <v>73</v>
      </c>
      <c r="B310" s="6" t="s">
        <v>153</v>
      </c>
      <c r="C310" s="6" t="s">
        <v>260</v>
      </c>
      <c r="D310" s="6" t="s">
        <v>260</v>
      </c>
      <c r="E310" s="6" t="s">
        <v>334</v>
      </c>
      <c r="F310" s="6" t="s">
        <v>328</v>
      </c>
      <c r="G310" s="6" t="s">
        <v>157</v>
      </c>
      <c r="H310" s="6" t="s">
        <v>237</v>
      </c>
      <c r="I310" s="6" t="s">
        <v>238</v>
      </c>
      <c r="J310" s="6" t="s">
        <v>239</v>
      </c>
      <c r="K310" s="6" t="s">
        <v>240</v>
      </c>
      <c r="L310" s="6" t="s">
        <v>241</v>
      </c>
      <c r="M310" s="6" t="s">
        <v>239</v>
      </c>
      <c r="N310" s="6" t="s">
        <v>78</v>
      </c>
      <c r="O310" s="6" t="s">
        <v>174</v>
      </c>
      <c r="P310" s="67">
        <v>-120000</v>
      </c>
      <c r="Q310" s="67">
        <v>-1481.47</v>
      </c>
      <c r="R310" s="6">
        <v>1.23456E-2</v>
      </c>
      <c r="S310" s="6" t="s">
        <v>164</v>
      </c>
      <c r="T310" s="6" t="s">
        <v>153</v>
      </c>
      <c r="U310" s="6" t="s">
        <v>76</v>
      </c>
      <c r="V310" s="6" t="s">
        <v>80</v>
      </c>
      <c r="W310" s="6" t="s">
        <v>294</v>
      </c>
      <c r="X310" s="6" t="s">
        <v>81</v>
      </c>
      <c r="Y310" s="6" t="s">
        <v>153</v>
      </c>
      <c r="Z310" s="6" t="s">
        <v>311</v>
      </c>
      <c r="AA310" s="6" t="s">
        <v>166</v>
      </c>
      <c r="AB310" s="6" t="s">
        <v>166</v>
      </c>
      <c r="AC310" s="6" t="s">
        <v>79</v>
      </c>
      <c r="AD310" s="6" t="s">
        <v>329</v>
      </c>
    </row>
    <row r="311" spans="1:30" s="6" customFormat="1">
      <c r="A311" s="6" t="s">
        <v>73</v>
      </c>
      <c r="B311" s="6" t="s">
        <v>153</v>
      </c>
      <c r="C311" s="6" t="s">
        <v>260</v>
      </c>
      <c r="D311" s="6" t="s">
        <v>260</v>
      </c>
      <c r="E311" s="6" t="s">
        <v>335</v>
      </c>
      <c r="F311" s="6" t="s">
        <v>328</v>
      </c>
      <c r="G311" s="6" t="s">
        <v>157</v>
      </c>
      <c r="H311" s="6" t="s">
        <v>183</v>
      </c>
      <c r="I311" s="6" t="s">
        <v>246</v>
      </c>
      <c r="J311" s="6" t="s">
        <v>247</v>
      </c>
      <c r="K311" s="6" t="s">
        <v>248</v>
      </c>
      <c r="L311" s="6" t="s">
        <v>249</v>
      </c>
      <c r="M311" s="6" t="s">
        <v>247</v>
      </c>
      <c r="N311" s="6" t="s">
        <v>78</v>
      </c>
      <c r="O311" s="6" t="s">
        <v>163</v>
      </c>
      <c r="P311" s="67">
        <v>120000</v>
      </c>
      <c r="Q311" s="67">
        <v>1481.47</v>
      </c>
      <c r="R311" s="6">
        <v>1.23456E-2</v>
      </c>
      <c r="S311" s="6" t="s">
        <v>164</v>
      </c>
      <c r="T311" s="6" t="s">
        <v>153</v>
      </c>
      <c r="U311" s="6" t="s">
        <v>76</v>
      </c>
      <c r="V311" s="6" t="s">
        <v>80</v>
      </c>
      <c r="W311" s="6" t="s">
        <v>294</v>
      </c>
      <c r="X311" s="6" t="s">
        <v>81</v>
      </c>
      <c r="Y311" s="6" t="s">
        <v>153</v>
      </c>
      <c r="Z311" s="6" t="s">
        <v>319</v>
      </c>
      <c r="AA311" s="6" t="s">
        <v>166</v>
      </c>
      <c r="AB311" s="6" t="s">
        <v>166</v>
      </c>
      <c r="AC311" s="6" t="s">
        <v>79</v>
      </c>
      <c r="AD311" s="6" t="s">
        <v>329</v>
      </c>
    </row>
    <row r="312" spans="1:30" s="6" customFormat="1">
      <c r="A312" s="6" t="s">
        <v>73</v>
      </c>
      <c r="B312" s="6" t="s">
        <v>153</v>
      </c>
      <c r="C312" s="6" t="s">
        <v>260</v>
      </c>
      <c r="D312" s="6" t="s">
        <v>260</v>
      </c>
      <c r="E312" s="6" t="s">
        <v>336</v>
      </c>
      <c r="F312" s="6" t="s">
        <v>328</v>
      </c>
      <c r="G312" s="6" t="s">
        <v>157</v>
      </c>
      <c r="H312" s="6" t="s">
        <v>158</v>
      </c>
      <c r="I312" s="6" t="s">
        <v>159</v>
      </c>
      <c r="J312" s="6" t="s">
        <v>160</v>
      </c>
      <c r="K312" s="6" t="s">
        <v>161</v>
      </c>
      <c r="L312" s="6" t="s">
        <v>162</v>
      </c>
      <c r="M312" s="6" t="s">
        <v>160</v>
      </c>
      <c r="N312" s="6" t="s">
        <v>78</v>
      </c>
      <c r="O312" s="6" t="s">
        <v>163</v>
      </c>
      <c r="P312" s="67">
        <v>5000</v>
      </c>
      <c r="Q312" s="67">
        <v>61.73</v>
      </c>
      <c r="R312" s="6">
        <v>1.23456E-2</v>
      </c>
      <c r="S312" s="6" t="s">
        <v>164</v>
      </c>
      <c r="T312" s="6" t="s">
        <v>153</v>
      </c>
      <c r="U312" s="6" t="s">
        <v>76</v>
      </c>
      <c r="V312" s="6" t="s">
        <v>80</v>
      </c>
      <c r="W312" s="6" t="s">
        <v>294</v>
      </c>
      <c r="X312" s="6" t="s">
        <v>81</v>
      </c>
      <c r="Y312" s="6" t="s">
        <v>153</v>
      </c>
      <c r="Z312" s="6" t="s">
        <v>321</v>
      </c>
      <c r="AA312" s="6" t="s">
        <v>166</v>
      </c>
      <c r="AB312" s="6" t="s">
        <v>166</v>
      </c>
      <c r="AC312" s="6" t="s">
        <v>79</v>
      </c>
      <c r="AD312" s="6" t="s">
        <v>329</v>
      </c>
    </row>
    <row r="313" spans="1:30" s="6" customFormat="1">
      <c r="A313" s="6" t="s">
        <v>73</v>
      </c>
      <c r="B313" s="6" t="s">
        <v>153</v>
      </c>
      <c r="C313" s="6" t="s">
        <v>260</v>
      </c>
      <c r="D313" s="6" t="s">
        <v>260</v>
      </c>
      <c r="E313" s="6" t="s">
        <v>337</v>
      </c>
      <c r="F313" s="6" t="s">
        <v>328</v>
      </c>
      <c r="G313" s="6" t="s">
        <v>157</v>
      </c>
      <c r="H313" s="6" t="s">
        <v>169</v>
      </c>
      <c r="I313" s="6" t="s">
        <v>170</v>
      </c>
      <c r="J313" s="6" t="s">
        <v>171</v>
      </c>
      <c r="K313" s="6" t="s">
        <v>172</v>
      </c>
      <c r="L313" s="6" t="s">
        <v>173</v>
      </c>
      <c r="M313" s="6" t="s">
        <v>171</v>
      </c>
      <c r="N313" s="6" t="s">
        <v>78</v>
      </c>
      <c r="O313" s="6" t="s">
        <v>174</v>
      </c>
      <c r="P313" s="67">
        <v>-5000</v>
      </c>
      <c r="Q313" s="67">
        <v>-61.73</v>
      </c>
      <c r="R313" s="6">
        <v>1.23456E-2</v>
      </c>
      <c r="S313" s="6" t="s">
        <v>164</v>
      </c>
      <c r="T313" s="6" t="s">
        <v>153</v>
      </c>
      <c r="U313" s="6" t="s">
        <v>76</v>
      </c>
      <c r="V313" s="6" t="s">
        <v>80</v>
      </c>
      <c r="W313" s="6" t="s">
        <v>294</v>
      </c>
      <c r="X313" s="6" t="s">
        <v>81</v>
      </c>
      <c r="Y313" s="6" t="s">
        <v>153</v>
      </c>
      <c r="Z313" s="6" t="s">
        <v>323</v>
      </c>
      <c r="AA313" s="6" t="s">
        <v>166</v>
      </c>
      <c r="AB313" s="6" t="s">
        <v>166</v>
      </c>
      <c r="AC313" s="6" t="s">
        <v>79</v>
      </c>
      <c r="AD313" s="6" t="s">
        <v>329</v>
      </c>
    </row>
    <row r="314" spans="1:30" s="6" customFormat="1">
      <c r="A314" s="6" t="s">
        <v>73</v>
      </c>
      <c r="B314" s="6" t="s">
        <v>153</v>
      </c>
      <c r="C314" s="6" t="s">
        <v>260</v>
      </c>
      <c r="D314" s="6" t="s">
        <v>260</v>
      </c>
      <c r="E314" s="6" t="s">
        <v>338</v>
      </c>
      <c r="F314" s="6" t="s">
        <v>328</v>
      </c>
      <c r="G314" s="6" t="s">
        <v>157</v>
      </c>
      <c r="H314" s="6" t="s">
        <v>158</v>
      </c>
      <c r="I314" s="6" t="s">
        <v>177</v>
      </c>
      <c r="J314" s="6" t="s">
        <v>178</v>
      </c>
      <c r="K314" s="6" t="s">
        <v>179</v>
      </c>
      <c r="L314" s="6" t="s">
        <v>180</v>
      </c>
      <c r="M314" s="6" t="s">
        <v>178</v>
      </c>
      <c r="N314" s="6" t="s">
        <v>78</v>
      </c>
      <c r="O314" s="6" t="s">
        <v>174</v>
      </c>
      <c r="P314" s="67">
        <v>-2630000</v>
      </c>
      <c r="Q314" s="67">
        <v>-32468.93</v>
      </c>
      <c r="R314" s="6">
        <v>1.23456E-2</v>
      </c>
      <c r="S314" s="6" t="s">
        <v>164</v>
      </c>
      <c r="T314" s="6" t="s">
        <v>153</v>
      </c>
      <c r="U314" s="6" t="s">
        <v>76</v>
      </c>
      <c r="V314" s="6" t="s">
        <v>80</v>
      </c>
      <c r="W314" s="6" t="s">
        <v>294</v>
      </c>
      <c r="X314" s="6" t="s">
        <v>81</v>
      </c>
      <c r="Y314" s="6" t="s">
        <v>153</v>
      </c>
      <c r="Z314" s="6" t="s">
        <v>325</v>
      </c>
      <c r="AA314" s="6" t="s">
        <v>166</v>
      </c>
      <c r="AB314" s="6" t="s">
        <v>166</v>
      </c>
      <c r="AC314" s="6" t="s">
        <v>79</v>
      </c>
      <c r="AD314" s="6" t="s">
        <v>329</v>
      </c>
    </row>
    <row r="315" spans="1:30" s="6" customFormat="1">
      <c r="A315" s="6" t="s">
        <v>73</v>
      </c>
      <c r="B315" s="6" t="s">
        <v>153</v>
      </c>
      <c r="C315" s="6" t="s">
        <v>260</v>
      </c>
      <c r="D315" s="6" t="s">
        <v>260</v>
      </c>
      <c r="E315" s="6" t="s">
        <v>339</v>
      </c>
      <c r="F315" s="6" t="s">
        <v>328</v>
      </c>
      <c r="G315" s="6" t="s">
        <v>157</v>
      </c>
      <c r="H315" s="6" t="s">
        <v>183</v>
      </c>
      <c r="I315" s="6" t="s">
        <v>184</v>
      </c>
      <c r="J315" s="6" t="s">
        <v>185</v>
      </c>
      <c r="K315" s="6" t="s">
        <v>186</v>
      </c>
      <c r="L315" s="6" t="s">
        <v>187</v>
      </c>
      <c r="M315" s="6" t="s">
        <v>185</v>
      </c>
      <c r="N315" s="6" t="s">
        <v>78</v>
      </c>
      <c r="O315" s="6" t="s">
        <v>163</v>
      </c>
      <c r="P315" s="67">
        <v>2630000</v>
      </c>
      <c r="Q315" s="67">
        <v>31161.13</v>
      </c>
      <c r="R315" s="6">
        <v>1.23456E-2</v>
      </c>
      <c r="S315" s="6" t="s">
        <v>164</v>
      </c>
      <c r="T315" s="6" t="s">
        <v>153</v>
      </c>
      <c r="U315" s="6" t="s">
        <v>76</v>
      </c>
      <c r="V315" s="6" t="s">
        <v>80</v>
      </c>
      <c r="W315" s="6" t="s">
        <v>294</v>
      </c>
      <c r="X315" s="6" t="s">
        <v>81</v>
      </c>
      <c r="Y315" s="6" t="s">
        <v>153</v>
      </c>
      <c r="Z315" s="6" t="s">
        <v>325</v>
      </c>
      <c r="AA315" s="6" t="s">
        <v>166</v>
      </c>
      <c r="AB315" s="6" t="s">
        <v>166</v>
      </c>
      <c r="AC315" s="6" t="s">
        <v>79</v>
      </c>
      <c r="AD315" s="6" t="s">
        <v>329</v>
      </c>
    </row>
    <row r="319" spans="1:30">
      <c r="A319" s="137" t="s">
        <v>197</v>
      </c>
    </row>
    <row r="321" spans="1:46" s="6" customFormat="1" ht="32" customHeight="1">
      <c r="A321" s="46" t="s">
        <v>124</v>
      </c>
      <c r="B321" s="46" t="s">
        <v>198</v>
      </c>
      <c r="C321" s="46" t="s">
        <v>199</v>
      </c>
      <c r="D321" s="46" t="s">
        <v>200</v>
      </c>
      <c r="E321" s="46" t="s">
        <v>127</v>
      </c>
      <c r="F321" s="46" t="s">
        <v>201</v>
      </c>
      <c r="G321" s="46" t="s">
        <v>202</v>
      </c>
      <c r="H321" s="46" t="s">
        <v>203</v>
      </c>
      <c r="I321" s="46" t="s">
        <v>92</v>
      </c>
      <c r="J321" s="46" t="s">
        <v>204</v>
      </c>
      <c r="K321" s="58" t="s">
        <v>100</v>
      </c>
      <c r="L321" s="46" t="s">
        <v>142</v>
      </c>
      <c r="M321" s="121" t="s">
        <v>205</v>
      </c>
      <c r="N321" s="121"/>
      <c r="O321" s="121" t="s">
        <v>113</v>
      </c>
      <c r="P321" s="121"/>
      <c r="Q321" s="121" t="s">
        <v>146</v>
      </c>
      <c r="R321" s="121"/>
      <c r="S321" s="121" t="s">
        <v>206</v>
      </c>
      <c r="T321" s="121"/>
      <c r="U321" s="46" t="s">
        <v>207</v>
      </c>
      <c r="V321" s="46" t="s">
        <v>208</v>
      </c>
      <c r="W321" s="46" t="s">
        <v>209</v>
      </c>
      <c r="X321" s="122" t="s">
        <v>98</v>
      </c>
      <c r="Y321" s="122"/>
      <c r="Z321" s="122" t="s">
        <v>210</v>
      </c>
      <c r="AA321" s="122"/>
      <c r="AB321" s="122" t="s">
        <v>211</v>
      </c>
      <c r="AC321" s="122"/>
      <c r="AD321" s="58" t="s">
        <v>212</v>
      </c>
      <c r="AE321" s="58" t="s">
        <v>213</v>
      </c>
      <c r="AF321" s="58" t="s">
        <v>214</v>
      </c>
      <c r="AG321" s="58" t="s">
        <v>215</v>
      </c>
      <c r="AH321" s="58" t="s">
        <v>216</v>
      </c>
      <c r="AI321" s="58" t="s">
        <v>217</v>
      </c>
      <c r="AJ321" s="58" t="s">
        <v>218</v>
      </c>
      <c r="AK321" s="58" t="s">
        <v>219</v>
      </c>
      <c r="AL321" s="58" t="s">
        <v>220</v>
      </c>
      <c r="AM321" s="58" t="s">
        <v>221</v>
      </c>
      <c r="AN321" s="58" t="s">
        <v>222</v>
      </c>
      <c r="AO321" s="73" t="s">
        <v>223</v>
      </c>
      <c r="AP321" s="74"/>
      <c r="AQ321" s="122" t="s">
        <v>224</v>
      </c>
      <c r="AR321" s="122"/>
      <c r="AS321" s="75" t="s">
        <v>225</v>
      </c>
    </row>
    <row r="322" spans="1:46" s="6" customFormat="1" ht="15" customHeight="1">
      <c r="A322" s="132" t="s">
        <v>340</v>
      </c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2"/>
      <c r="AP322" s="132"/>
      <c r="AQ322" s="132"/>
      <c r="AR322" s="132"/>
      <c r="AS322" s="132"/>
      <c r="AT322" s="132"/>
    </row>
    <row r="323" spans="1:46" s="6" customFormat="1" ht="27" customHeight="1">
      <c r="A323" s="47" t="s">
        <v>73</v>
      </c>
      <c r="B323" s="47" t="s">
        <v>226</v>
      </c>
      <c r="C323" s="47" t="s">
        <v>227</v>
      </c>
      <c r="D323" s="47" t="s">
        <v>228</v>
      </c>
      <c r="E323" s="48">
        <v>45627</v>
      </c>
      <c r="F323" s="48">
        <v>45627</v>
      </c>
      <c r="G323" s="47" t="s">
        <v>328</v>
      </c>
      <c r="H323" s="47" t="s">
        <v>294</v>
      </c>
      <c r="I323" s="47" t="s">
        <v>76</v>
      </c>
      <c r="J323" s="47" t="s">
        <v>229</v>
      </c>
      <c r="K323" s="59">
        <v>300</v>
      </c>
      <c r="L323" s="60" t="s">
        <v>164</v>
      </c>
      <c r="N323" s="123" t="s">
        <v>230</v>
      </c>
      <c r="O323" s="123"/>
      <c r="P323" s="123" t="s">
        <v>82</v>
      </c>
      <c r="Q323" s="123"/>
      <c r="R323" s="123" t="s">
        <v>81</v>
      </c>
      <c r="S323" s="123"/>
      <c r="T323" s="124" t="s">
        <v>231</v>
      </c>
      <c r="U323" s="124"/>
      <c r="Y323" s="125">
        <v>5000</v>
      </c>
      <c r="Z323" s="125"/>
      <c r="AA323" s="126">
        <v>300</v>
      </c>
      <c r="AB323" s="126"/>
      <c r="AC323" s="59">
        <v>18518.400000000001</v>
      </c>
      <c r="AD323" s="59" t="s">
        <v>232</v>
      </c>
      <c r="AE323" s="59">
        <v>61.73</v>
      </c>
      <c r="AF323" s="70">
        <v>0.333344133402454</v>
      </c>
      <c r="AG323" s="59">
        <v>61.73</v>
      </c>
      <c r="AH323" s="59">
        <v>0</v>
      </c>
      <c r="AI323" s="59">
        <v>0</v>
      </c>
      <c r="AJ323" s="59">
        <v>1495000</v>
      </c>
      <c r="AK323" s="59">
        <v>18456.669999999998</v>
      </c>
      <c r="AL323" s="59">
        <v>2630000</v>
      </c>
      <c r="AM323" s="59">
        <v>31161.13</v>
      </c>
      <c r="AN323" s="59">
        <v>-1135000</v>
      </c>
      <c r="AO323" s="59">
        <v>-14012.26</v>
      </c>
      <c r="AQ323" s="125">
        <v>0</v>
      </c>
      <c r="AR323" s="125"/>
      <c r="AS323" s="59">
        <v>0</v>
      </c>
    </row>
    <row r="324" spans="1:46" s="6" customFormat="1" ht="27" customHeight="1">
      <c r="A324" s="110" t="s">
        <v>73</v>
      </c>
      <c r="B324" s="110" t="s">
        <v>226</v>
      </c>
      <c r="C324" s="110" t="s">
        <v>227</v>
      </c>
      <c r="D324" s="110" t="s">
        <v>228</v>
      </c>
      <c r="E324" s="111">
        <v>45627</v>
      </c>
      <c r="F324" s="111">
        <v>45627</v>
      </c>
      <c r="G324" s="110" t="s">
        <v>296</v>
      </c>
      <c r="H324" s="110" t="s">
        <v>294</v>
      </c>
      <c r="I324" s="110" t="s">
        <v>76</v>
      </c>
      <c r="J324" s="110" t="s">
        <v>229</v>
      </c>
      <c r="K324" s="112">
        <v>300</v>
      </c>
      <c r="L324" s="113" t="s">
        <v>164</v>
      </c>
      <c r="M324" s="74"/>
      <c r="N324" s="127" t="s">
        <v>230</v>
      </c>
      <c r="O324" s="127"/>
      <c r="P324" s="127" t="s">
        <v>82</v>
      </c>
      <c r="Q324" s="127"/>
      <c r="R324" s="127" t="s">
        <v>81</v>
      </c>
      <c r="S324" s="127"/>
      <c r="T324" s="128" t="s">
        <v>231</v>
      </c>
      <c r="U324" s="128"/>
      <c r="V324" s="74"/>
      <c r="W324" s="74"/>
      <c r="X324" s="74"/>
      <c r="Y324" s="129">
        <v>5000</v>
      </c>
      <c r="Z324" s="129"/>
      <c r="AA324" s="130">
        <v>300</v>
      </c>
      <c r="AB324" s="130"/>
      <c r="AC324" s="112">
        <v>18518.400000000001</v>
      </c>
      <c r="AD324" s="112" t="s">
        <v>232</v>
      </c>
      <c r="AE324" s="112">
        <v>61.73</v>
      </c>
      <c r="AF324" s="114">
        <v>0.333344133402454</v>
      </c>
      <c r="AG324" s="112">
        <v>61.73</v>
      </c>
      <c r="AH324" s="112">
        <v>0</v>
      </c>
      <c r="AI324" s="112">
        <v>0</v>
      </c>
      <c r="AJ324" s="112">
        <v>1495000</v>
      </c>
      <c r="AK324" s="112">
        <v>18456.669999999998</v>
      </c>
      <c r="AL324" s="112">
        <v>2630000</v>
      </c>
      <c r="AM324" s="112">
        <v>31161.14</v>
      </c>
      <c r="AN324" s="112">
        <v>-1135000</v>
      </c>
      <c r="AO324" s="112">
        <v>-14012.26</v>
      </c>
      <c r="AP324" s="74"/>
      <c r="AQ324" s="129">
        <v>0</v>
      </c>
      <c r="AR324" s="129"/>
      <c r="AS324" s="112">
        <v>0</v>
      </c>
      <c r="AT324" s="74"/>
    </row>
  </sheetData>
  <mergeCells count="60">
    <mergeCell ref="N324:O324"/>
    <mergeCell ref="P324:Q324"/>
    <mergeCell ref="R324:S324"/>
    <mergeCell ref="T324:U324"/>
    <mergeCell ref="Y324:Z324"/>
    <mergeCell ref="AA324:AB324"/>
    <mergeCell ref="AQ324:AR324"/>
    <mergeCell ref="X321:Y321"/>
    <mergeCell ref="Z321:AA321"/>
    <mergeCell ref="AB321:AC321"/>
    <mergeCell ref="AQ321:AR321"/>
    <mergeCell ref="A322:AT322"/>
    <mergeCell ref="N323:O323"/>
    <mergeCell ref="P323:Q323"/>
    <mergeCell ref="R323:S323"/>
    <mergeCell ref="T323:U323"/>
    <mergeCell ref="Y323:Z323"/>
    <mergeCell ref="AA323:AB323"/>
    <mergeCell ref="AQ323:AR323"/>
    <mergeCell ref="M321:N321"/>
    <mergeCell ref="O321:P321"/>
    <mergeCell ref="Q321:R321"/>
    <mergeCell ref="S321:T321"/>
    <mergeCell ref="S260:T260"/>
    <mergeCell ref="X260:Y260"/>
    <mergeCell ref="Z260:AA260"/>
    <mergeCell ref="AB260:AC260"/>
    <mergeCell ref="AQ260:AR260"/>
    <mergeCell ref="N261:O261"/>
    <mergeCell ref="P261:Q261"/>
    <mergeCell ref="R261:S261"/>
    <mergeCell ref="T261:U261"/>
    <mergeCell ref="Y261:Z261"/>
    <mergeCell ref="AA261:AB261"/>
    <mergeCell ref="AQ261:AR261"/>
    <mergeCell ref="M260:N260"/>
    <mergeCell ref="O260:P260"/>
    <mergeCell ref="Q260:R260"/>
    <mergeCell ref="N72:O72"/>
    <mergeCell ref="P72:Q72"/>
    <mergeCell ref="R72:S72"/>
    <mergeCell ref="T72:U72"/>
    <mergeCell ref="Y72:Z72"/>
    <mergeCell ref="AA72:AB72"/>
    <mergeCell ref="AQ72:AR72"/>
    <mergeCell ref="M70:N70"/>
    <mergeCell ref="O70:P70"/>
    <mergeCell ref="Q70:R70"/>
    <mergeCell ref="S70:T70"/>
    <mergeCell ref="X70:Y70"/>
    <mergeCell ref="Z70:AA70"/>
    <mergeCell ref="AB70:AC70"/>
    <mergeCell ref="AQ70:AR70"/>
    <mergeCell ref="N71:O71"/>
    <mergeCell ref="P71:Q71"/>
    <mergeCell ref="R71:S71"/>
    <mergeCell ref="T71:U71"/>
    <mergeCell ref="Y71:Z71"/>
    <mergeCell ref="AA71:AB71"/>
    <mergeCell ref="AQ71:AR7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55"/>
  <sheetViews>
    <sheetView topLeftCell="A245" zoomScale="90" zoomScaleNormal="90" workbookViewId="0">
      <selection activeCell="A252" sqref="A252"/>
    </sheetView>
  </sheetViews>
  <sheetFormatPr defaultColWidth="8.90625" defaultRowHeight="11.5"/>
  <cols>
    <col min="1" max="1" width="10.453125" style="11" customWidth="1"/>
    <col min="2" max="2" width="8.90625" style="11"/>
    <col min="3" max="3" width="9.6328125" style="11"/>
    <col min="4" max="4" width="11.6328125" style="11" customWidth="1"/>
    <col min="5" max="7" width="8.90625" style="11"/>
    <col min="8" max="9" width="12.6328125" style="11"/>
    <col min="10" max="10" width="11.453125" style="11"/>
    <col min="11" max="11" width="12.1796875" style="11"/>
    <col min="12" max="12" width="17.54296875" style="11"/>
    <col min="13" max="13" width="42.453125" style="11" customWidth="1"/>
    <col min="14" max="14" width="11.453125" style="11"/>
    <col min="15" max="15" width="15" style="11"/>
    <col min="16" max="16" width="12.08984375" style="11" customWidth="1"/>
    <col min="17" max="17" width="10.08984375" style="11"/>
    <col min="18" max="18" width="14" style="11" customWidth="1"/>
    <col min="19" max="19" width="11.6328125" style="11"/>
    <col min="20" max="20" width="14.453125" style="11" customWidth="1"/>
    <col min="21" max="22" width="8.90625" style="11"/>
    <col min="23" max="23" width="15.81640625" style="11" customWidth="1"/>
    <col min="24" max="24" width="16.08984375" style="11" customWidth="1"/>
    <col min="25" max="25" width="13.453125" style="11"/>
    <col min="26" max="26" width="11.54296875" style="11"/>
    <col min="27" max="27" width="8.90625" style="11"/>
    <col min="28" max="28" width="10.08984375" style="11"/>
    <col min="29" max="29" width="8.90625" style="11"/>
    <col min="30" max="32" width="11.08984375" style="11"/>
    <col min="33" max="33" width="10.81640625" style="11"/>
    <col min="34" max="38" width="8.90625" style="11"/>
    <col min="39" max="39" width="11.08984375" style="11"/>
    <col min="40" max="40" width="18.1796875" style="11" customWidth="1"/>
    <col min="41" max="16384" width="8.90625" style="11"/>
  </cols>
  <sheetData>
    <row r="1" spans="1:73" s="1" customFormat="1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14</v>
      </c>
      <c r="P1" s="12" t="s">
        <v>15</v>
      </c>
      <c r="Q1" s="1" t="s">
        <v>16</v>
      </c>
      <c r="R1" s="1" t="s">
        <v>17</v>
      </c>
      <c r="S1" s="1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4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8" t="s">
        <v>43</v>
      </c>
      <c r="AS1" s="1" t="s">
        <v>44</v>
      </c>
      <c r="AT1" s="38" t="s">
        <v>45</v>
      </c>
      <c r="AU1" s="1" t="s">
        <v>46</v>
      </c>
      <c r="AV1" s="1" t="s">
        <v>47</v>
      </c>
      <c r="AW1" s="1" t="s">
        <v>48</v>
      </c>
      <c r="AX1" s="38" t="s">
        <v>49</v>
      </c>
      <c r="AY1" s="1" t="s">
        <v>50</v>
      </c>
      <c r="AZ1" s="38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s="2" customFormat="1" ht="15" customHeight="1">
      <c r="A2" s="2" t="s">
        <v>341</v>
      </c>
      <c r="B2" s="2" t="s">
        <v>74</v>
      </c>
      <c r="C2" s="2" t="s">
        <v>75</v>
      </c>
      <c r="D2" s="2">
        <v>30</v>
      </c>
      <c r="E2" s="3" t="s">
        <v>342</v>
      </c>
      <c r="F2" s="2" t="s">
        <v>343</v>
      </c>
      <c r="G2" s="2" t="s">
        <v>78</v>
      </c>
      <c r="H2" s="2" t="s">
        <v>79</v>
      </c>
      <c r="I2" s="2" t="s">
        <v>80</v>
      </c>
      <c r="J2" s="20"/>
      <c r="K2" s="20"/>
      <c r="L2" s="20"/>
      <c r="M2" s="20"/>
      <c r="N2" s="21"/>
      <c r="O2" s="20">
        <v>2324</v>
      </c>
      <c r="P2" s="21">
        <v>125</v>
      </c>
      <c r="Q2" s="2">
        <v>0</v>
      </c>
      <c r="R2" s="34">
        <f>O2*P2</f>
        <v>290500</v>
      </c>
      <c r="S2" s="35">
        <v>84.683999999999997</v>
      </c>
      <c r="T2" s="34">
        <f>R2/S2</f>
        <v>3430.4000755750794</v>
      </c>
      <c r="U2" s="3">
        <v>0</v>
      </c>
      <c r="V2" s="3">
        <v>0</v>
      </c>
      <c r="W2" s="36">
        <f>O2*P2</f>
        <v>290500</v>
      </c>
      <c r="X2" s="34">
        <f>W2/S2</f>
        <v>3430.4000755750794</v>
      </c>
      <c r="Y2" s="2" t="s">
        <v>81</v>
      </c>
      <c r="Z2" s="2" t="s">
        <v>82</v>
      </c>
      <c r="AA2" s="2" t="s">
        <v>83</v>
      </c>
      <c r="AB2" s="2" t="s">
        <v>84</v>
      </c>
      <c r="AC2" s="20" t="s">
        <v>85</v>
      </c>
      <c r="AD2" s="41">
        <v>45631</v>
      </c>
      <c r="AE2" s="41">
        <v>45631</v>
      </c>
      <c r="AF2" s="41">
        <v>45631</v>
      </c>
      <c r="AG2" s="41">
        <v>45688</v>
      </c>
      <c r="AH2" s="2" t="s">
        <v>86</v>
      </c>
      <c r="AI2" s="2" t="s">
        <v>344</v>
      </c>
      <c r="AJ2" s="35">
        <v>84.683999999999997</v>
      </c>
      <c r="AK2" s="43">
        <f>W2/AJ2</f>
        <v>3430.4000755750794</v>
      </c>
      <c r="AM2" s="41">
        <v>45631</v>
      </c>
      <c r="AN2" s="3">
        <v>0</v>
      </c>
      <c r="AO2" s="3">
        <v>0</v>
      </c>
      <c r="AR2" s="44" t="s">
        <v>88</v>
      </c>
      <c r="AS2" s="2" t="s">
        <v>78</v>
      </c>
      <c r="AT2" s="20">
        <v>2324</v>
      </c>
      <c r="AU2" s="20">
        <v>2324</v>
      </c>
      <c r="AV2" s="35">
        <v>84.683999999999997</v>
      </c>
      <c r="AW2" s="3">
        <v>0</v>
      </c>
      <c r="AX2" s="44" t="s">
        <v>89</v>
      </c>
      <c r="AY2" s="2" t="s">
        <v>78</v>
      </c>
      <c r="AZ2" s="20">
        <v>2324</v>
      </c>
      <c r="BA2" s="20">
        <v>2324</v>
      </c>
      <c r="BB2" s="35">
        <v>84.683999999999997</v>
      </c>
      <c r="BC2" s="3">
        <v>0</v>
      </c>
      <c r="BD2" s="45"/>
      <c r="BE2" s="45"/>
      <c r="BF2" s="3">
        <v>0</v>
      </c>
      <c r="BG2" s="3">
        <v>0</v>
      </c>
      <c r="BH2" s="2">
        <v>0</v>
      </c>
      <c r="BI2" s="3">
        <v>0</v>
      </c>
      <c r="BJ2" s="45"/>
      <c r="BK2" s="45"/>
      <c r="BL2" s="3">
        <v>0</v>
      </c>
      <c r="BM2" s="3">
        <v>0</v>
      </c>
      <c r="BN2" s="2">
        <v>0</v>
      </c>
      <c r="BO2" s="3">
        <v>0</v>
      </c>
      <c r="BP2" s="45"/>
      <c r="BQ2" s="45"/>
      <c r="BR2" s="3">
        <v>0</v>
      </c>
      <c r="BS2" s="3">
        <v>0</v>
      </c>
      <c r="BT2" s="2">
        <v>0</v>
      </c>
      <c r="BU2" s="3">
        <v>0</v>
      </c>
    </row>
    <row r="3" spans="1:73" s="2" customFormat="1" ht="15" customHeight="1">
      <c r="A3" s="2" t="s">
        <v>341</v>
      </c>
      <c r="B3" s="2" t="s">
        <v>74</v>
      </c>
      <c r="C3" s="2" t="s">
        <v>75</v>
      </c>
      <c r="D3" s="2">
        <v>30</v>
      </c>
      <c r="E3" s="3" t="s">
        <v>342</v>
      </c>
      <c r="F3" s="2" t="s">
        <v>343</v>
      </c>
      <c r="G3" s="2" t="s">
        <v>78</v>
      </c>
      <c r="H3" s="2" t="s">
        <v>79</v>
      </c>
      <c r="I3" s="2" t="s">
        <v>80</v>
      </c>
      <c r="J3" s="20"/>
      <c r="K3" s="20"/>
      <c r="L3" s="20"/>
      <c r="M3" s="20"/>
      <c r="N3" s="21"/>
      <c r="O3" s="20">
        <v>1233</v>
      </c>
      <c r="P3" s="21">
        <v>125</v>
      </c>
      <c r="Q3" s="2">
        <v>0</v>
      </c>
      <c r="R3" s="34">
        <f>O3*P3</f>
        <v>154125</v>
      </c>
      <c r="S3" s="35">
        <v>84.683999999999997</v>
      </c>
      <c r="T3" s="34">
        <f>R3/S3</f>
        <v>1820.0014170327336</v>
      </c>
      <c r="U3" s="3">
        <v>0</v>
      </c>
      <c r="V3" s="3">
        <v>0</v>
      </c>
      <c r="W3" s="36">
        <f>O3*P3</f>
        <v>154125</v>
      </c>
      <c r="X3" s="34">
        <f>W3/S3</f>
        <v>1820.0014170327336</v>
      </c>
      <c r="Y3" s="2" t="s">
        <v>81</v>
      </c>
      <c r="Z3" s="2" t="s">
        <v>82</v>
      </c>
      <c r="AA3" s="2" t="s">
        <v>83</v>
      </c>
      <c r="AB3" s="2" t="s">
        <v>84</v>
      </c>
      <c r="AC3" s="20" t="s">
        <v>85</v>
      </c>
      <c r="AD3" s="41">
        <v>45631</v>
      </c>
      <c r="AE3" s="41">
        <v>45631</v>
      </c>
      <c r="AF3" s="41">
        <v>45632</v>
      </c>
      <c r="AG3" s="41">
        <v>45688</v>
      </c>
      <c r="AH3" s="2" t="s">
        <v>86</v>
      </c>
      <c r="AI3" s="2" t="s">
        <v>344</v>
      </c>
      <c r="AJ3" s="35">
        <v>84.683999999999997</v>
      </c>
      <c r="AK3" s="43">
        <f>W3/AJ3</f>
        <v>1820.0014170327336</v>
      </c>
      <c r="AM3" s="41">
        <v>45631</v>
      </c>
      <c r="AN3" s="3">
        <v>0</v>
      </c>
      <c r="AO3" s="3">
        <v>0</v>
      </c>
      <c r="AR3" s="44" t="s">
        <v>88</v>
      </c>
      <c r="AS3" s="2" t="s">
        <v>78</v>
      </c>
      <c r="AT3" s="20">
        <v>1233</v>
      </c>
      <c r="AU3" s="20">
        <v>1233</v>
      </c>
      <c r="AV3" s="35">
        <v>84.683999999999997</v>
      </c>
      <c r="AW3" s="3">
        <v>0</v>
      </c>
      <c r="AX3" s="44" t="s">
        <v>89</v>
      </c>
      <c r="AY3" s="2" t="s">
        <v>78</v>
      </c>
      <c r="AZ3" s="20">
        <v>1233</v>
      </c>
      <c r="BA3" s="20">
        <v>1233</v>
      </c>
      <c r="BB3" s="35">
        <v>84.683999999999997</v>
      </c>
      <c r="BC3" s="3">
        <v>0</v>
      </c>
      <c r="BD3" s="45"/>
      <c r="BE3" s="45"/>
      <c r="BF3" s="3">
        <v>0</v>
      </c>
      <c r="BG3" s="3">
        <v>0</v>
      </c>
      <c r="BH3" s="2">
        <v>0</v>
      </c>
      <c r="BI3" s="3">
        <v>0</v>
      </c>
      <c r="BJ3" s="45"/>
      <c r="BK3" s="45"/>
      <c r="BL3" s="3">
        <v>0</v>
      </c>
      <c r="BM3" s="3">
        <v>0</v>
      </c>
      <c r="BN3" s="2">
        <v>0</v>
      </c>
      <c r="BO3" s="3">
        <v>0</v>
      </c>
      <c r="BP3" s="45"/>
      <c r="BQ3" s="45"/>
      <c r="BR3" s="3">
        <v>0</v>
      </c>
      <c r="BS3" s="3">
        <v>0</v>
      </c>
      <c r="BT3" s="2">
        <v>0</v>
      </c>
      <c r="BU3" s="3">
        <v>0</v>
      </c>
    </row>
    <row r="48" spans="1:9">
      <c r="A48" s="138" t="s">
        <v>90</v>
      </c>
      <c r="I48" s="20">
        <v>2324</v>
      </c>
    </row>
    <row r="49" spans="1:32">
      <c r="I49" s="20">
        <v>1233</v>
      </c>
    </row>
    <row r="50" spans="1:32" s="3" customFormat="1" ht="30" customHeight="1">
      <c r="A50" s="13" t="s">
        <v>91</v>
      </c>
      <c r="B50" s="133" t="s">
        <v>92</v>
      </c>
      <c r="C50" s="133"/>
      <c r="D50" s="13" t="s">
        <v>93</v>
      </c>
      <c r="E50" s="13" t="s">
        <v>94</v>
      </c>
      <c r="F50" s="13" t="s">
        <v>95</v>
      </c>
      <c r="G50" s="13" t="s">
        <v>96</v>
      </c>
      <c r="H50" s="13" t="s">
        <v>97</v>
      </c>
      <c r="I50" s="13" t="s">
        <v>98</v>
      </c>
      <c r="J50" s="13" t="s">
        <v>99</v>
      </c>
      <c r="K50" s="13" t="s">
        <v>100</v>
      </c>
      <c r="L50" s="13" t="s">
        <v>101</v>
      </c>
      <c r="M50" s="13" t="s">
        <v>102</v>
      </c>
      <c r="N50" s="13" t="s">
        <v>103</v>
      </c>
      <c r="O50" s="13" t="s">
        <v>104</v>
      </c>
      <c r="P50" s="13" t="s">
        <v>105</v>
      </c>
      <c r="Q50" s="13" t="s">
        <v>106</v>
      </c>
      <c r="R50" s="13" t="s">
        <v>107</v>
      </c>
      <c r="S50" s="13" t="s">
        <v>108</v>
      </c>
      <c r="T50" s="13" t="s">
        <v>109</v>
      </c>
      <c r="U50" s="13" t="s">
        <v>110</v>
      </c>
      <c r="V50" s="13" t="s">
        <v>111</v>
      </c>
      <c r="W50" s="13" t="s">
        <v>112</v>
      </c>
      <c r="X50" s="13" t="s">
        <v>113</v>
      </c>
      <c r="Y50" s="13" t="s">
        <v>114</v>
      </c>
      <c r="Z50" s="13" t="s">
        <v>115</v>
      </c>
      <c r="AA50" s="13" t="s">
        <v>116</v>
      </c>
      <c r="AB50" s="13" t="s">
        <v>117</v>
      </c>
      <c r="AC50" s="13" t="s">
        <v>118</v>
      </c>
      <c r="AD50" s="13" t="s">
        <v>119</v>
      </c>
      <c r="AE50" s="13" t="s">
        <v>120</v>
      </c>
      <c r="AF50" s="13" t="s">
        <v>121</v>
      </c>
    </row>
    <row r="51" spans="1:32" s="3" customFormat="1" ht="21.5" customHeight="1">
      <c r="B51" s="134" t="s">
        <v>342</v>
      </c>
      <c r="C51" s="134"/>
      <c r="D51" s="14" t="s">
        <v>345</v>
      </c>
      <c r="F51" s="14" t="s">
        <v>78</v>
      </c>
      <c r="H51" s="15">
        <v>45688</v>
      </c>
      <c r="I51" s="22">
        <v>3557</v>
      </c>
      <c r="J51" s="23">
        <v>127</v>
      </c>
      <c r="K51" s="24">
        <v>125</v>
      </c>
      <c r="L51" s="25">
        <v>451739</v>
      </c>
      <c r="M51" s="25">
        <v>5334.41</v>
      </c>
      <c r="N51" s="23">
        <v>125</v>
      </c>
      <c r="O51" s="25">
        <v>444625</v>
      </c>
      <c r="P51" s="25">
        <v>5250.4</v>
      </c>
      <c r="Q51" s="37">
        <v>3.4682521627560102E-2</v>
      </c>
      <c r="R51" s="25">
        <v>0</v>
      </c>
      <c r="S51" s="25">
        <v>0</v>
      </c>
      <c r="T51" s="25">
        <v>0</v>
      </c>
      <c r="U51" s="25">
        <v>0</v>
      </c>
      <c r="V51" s="25">
        <v>5334.41</v>
      </c>
      <c r="W51" s="25">
        <v>0</v>
      </c>
      <c r="X51" s="38"/>
      <c r="Y51" s="25">
        <v>-7114</v>
      </c>
      <c r="Z51" s="25">
        <v>-84.01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38"/>
    </row>
    <row r="52" spans="1:32">
      <c r="I52" s="11">
        <f>I48+I49</f>
        <v>3557</v>
      </c>
      <c r="L52" s="26">
        <f>I51*J51</f>
        <v>451739</v>
      </c>
      <c r="M52" s="27">
        <f>L51/R63</f>
        <v>5334.4079164895375</v>
      </c>
      <c r="O52" s="28">
        <f>I51*N51</f>
        <v>444625</v>
      </c>
      <c r="P52" s="27">
        <f>O51/R63</f>
        <v>5250.4014926078125</v>
      </c>
      <c r="Y52" s="28">
        <f>O52-L52</f>
        <v>-7114</v>
      </c>
      <c r="Z52" s="27">
        <f>P51-M51</f>
        <v>-84.010000000000218</v>
      </c>
    </row>
    <row r="53" spans="1:32">
      <c r="L53" s="26"/>
      <c r="M53" s="27"/>
      <c r="O53" s="28"/>
      <c r="P53" s="27"/>
      <c r="Y53" s="28"/>
      <c r="Z53" s="27"/>
    </row>
    <row r="54" spans="1:32">
      <c r="A54" s="138" t="s">
        <v>346</v>
      </c>
      <c r="J54" s="26"/>
    </row>
    <row r="56" spans="1:32" s="4" customFormat="1" ht="25" customHeight="1">
      <c r="A56" s="16" t="s">
        <v>347</v>
      </c>
      <c r="B56" s="16" t="s">
        <v>348</v>
      </c>
      <c r="C56" s="16" t="s">
        <v>349</v>
      </c>
      <c r="D56" s="16" t="s">
        <v>350</v>
      </c>
      <c r="E56" s="16" t="s">
        <v>351</v>
      </c>
      <c r="F56" s="16" t="s">
        <v>352</v>
      </c>
      <c r="G56" s="16" t="s">
        <v>353</v>
      </c>
      <c r="H56" s="16" t="s">
        <v>354</v>
      </c>
      <c r="I56" s="16" t="s">
        <v>355</v>
      </c>
      <c r="J56" s="16" t="s">
        <v>356</v>
      </c>
      <c r="K56" s="16" t="s">
        <v>97</v>
      </c>
      <c r="L56" s="16" t="s">
        <v>357</v>
      </c>
      <c r="M56" s="16" t="s">
        <v>358</v>
      </c>
      <c r="N56" s="29" t="s">
        <v>99</v>
      </c>
      <c r="O56" s="16" t="s">
        <v>359</v>
      </c>
      <c r="P56" s="16" t="s">
        <v>360</v>
      </c>
      <c r="Q56" s="16" t="s">
        <v>361</v>
      </c>
      <c r="R56" s="16" t="s">
        <v>103</v>
      </c>
      <c r="S56" s="16" t="s">
        <v>362</v>
      </c>
      <c r="T56" s="16" t="s">
        <v>363</v>
      </c>
      <c r="U56" s="16" t="s">
        <v>106</v>
      </c>
      <c r="V56" s="16" t="s">
        <v>364</v>
      </c>
      <c r="W56" s="16" t="s">
        <v>365</v>
      </c>
      <c r="X56" s="16" t="s">
        <v>366</v>
      </c>
      <c r="Y56" s="16" t="s">
        <v>367</v>
      </c>
      <c r="Z56" s="16" t="s">
        <v>368</v>
      </c>
      <c r="AA56" s="16" t="s">
        <v>112</v>
      </c>
      <c r="AB56" s="16" t="s">
        <v>369</v>
      </c>
      <c r="AC56" s="16" t="s">
        <v>370</v>
      </c>
      <c r="AD56" s="16" t="s">
        <v>371</v>
      </c>
      <c r="AE56" s="16" t="s">
        <v>372</v>
      </c>
      <c r="AF56" s="16" t="s">
        <v>373</v>
      </c>
    </row>
    <row r="57" spans="1:32" s="4" customFormat="1" ht="20" customHeight="1">
      <c r="A57" s="17" t="s">
        <v>374</v>
      </c>
      <c r="B57" s="17" t="s">
        <v>343</v>
      </c>
      <c r="C57" s="17" t="s">
        <v>345</v>
      </c>
      <c r="D57" s="17" t="s">
        <v>78</v>
      </c>
      <c r="E57" s="17" t="s">
        <v>74</v>
      </c>
      <c r="F57" s="17">
        <v>144195</v>
      </c>
      <c r="G57" s="17" t="s">
        <v>375</v>
      </c>
      <c r="H57" s="18">
        <v>45631</v>
      </c>
      <c r="I57" s="18">
        <v>45631</v>
      </c>
      <c r="J57" s="17" t="s">
        <v>376</v>
      </c>
      <c r="K57" s="18">
        <v>45688</v>
      </c>
      <c r="L57" s="18">
        <v>45688</v>
      </c>
      <c r="M57" s="30">
        <v>2324</v>
      </c>
      <c r="N57" s="31">
        <v>127</v>
      </c>
      <c r="O57" s="32">
        <v>295148</v>
      </c>
      <c r="P57" s="32">
        <v>3485.29</v>
      </c>
      <c r="Q57" s="32">
        <v>3485.2864767842798</v>
      </c>
      <c r="R57" s="31">
        <v>125</v>
      </c>
      <c r="S57" s="32">
        <v>290500</v>
      </c>
      <c r="T57" s="32">
        <v>3430.4</v>
      </c>
      <c r="U57" s="39">
        <v>2.2660163452533601E-2</v>
      </c>
      <c r="V57" s="32">
        <v>0</v>
      </c>
      <c r="W57" s="32">
        <v>0</v>
      </c>
      <c r="X57" s="32">
        <v>0</v>
      </c>
      <c r="Y57" s="32">
        <v>0</v>
      </c>
      <c r="Z57" s="32">
        <v>295148</v>
      </c>
      <c r="AA57" s="32">
        <v>0</v>
      </c>
      <c r="AB57" s="32">
        <v>-4648</v>
      </c>
      <c r="AC57" s="32">
        <v>-54.89</v>
      </c>
      <c r="AD57" s="32">
        <v>0</v>
      </c>
      <c r="AE57" s="32">
        <v>-54.886401209201303</v>
      </c>
      <c r="AF57" s="32">
        <v>84.683999999999997</v>
      </c>
    </row>
    <row r="58" spans="1:32" s="4" customFormat="1" ht="20" customHeight="1">
      <c r="A58" s="17" t="s">
        <v>374</v>
      </c>
      <c r="B58" s="17" t="s">
        <v>343</v>
      </c>
      <c r="C58" s="17" t="s">
        <v>345</v>
      </c>
      <c r="D58" s="17" t="s">
        <v>78</v>
      </c>
      <c r="E58" s="17" t="s">
        <v>74</v>
      </c>
      <c r="F58" s="17">
        <v>144196</v>
      </c>
      <c r="G58" s="17" t="s">
        <v>377</v>
      </c>
      <c r="H58" s="18">
        <v>45631</v>
      </c>
      <c r="I58" s="18">
        <v>45632</v>
      </c>
      <c r="J58" s="17" t="s">
        <v>376</v>
      </c>
      <c r="K58" s="18">
        <v>45688</v>
      </c>
      <c r="L58" s="18">
        <v>45688</v>
      </c>
      <c r="M58" s="30">
        <v>1233</v>
      </c>
      <c r="N58" s="31">
        <v>127</v>
      </c>
      <c r="O58" s="32">
        <v>156591</v>
      </c>
      <c r="P58" s="32">
        <v>1849.12</v>
      </c>
      <c r="Q58" s="32">
        <v>1849.1214397052599</v>
      </c>
      <c r="R58" s="31">
        <v>125</v>
      </c>
      <c r="S58" s="32">
        <v>154125</v>
      </c>
      <c r="T58" s="32">
        <v>1820</v>
      </c>
      <c r="U58" s="39">
        <v>1.2022358175026599E-2</v>
      </c>
      <c r="V58" s="32">
        <v>0</v>
      </c>
      <c r="W58" s="32">
        <v>0</v>
      </c>
      <c r="X58" s="32">
        <v>0</v>
      </c>
      <c r="Y58" s="32">
        <v>0</v>
      </c>
      <c r="Z58" s="32">
        <v>156591</v>
      </c>
      <c r="AA58" s="32">
        <v>0</v>
      </c>
      <c r="AB58" s="32">
        <v>-2466</v>
      </c>
      <c r="AC58" s="32">
        <v>-29.12</v>
      </c>
      <c r="AD58" s="32">
        <v>0</v>
      </c>
      <c r="AE58" s="32">
        <v>-29.120022672523699</v>
      </c>
      <c r="AF58" s="32">
        <v>84.683999999999997</v>
      </c>
    </row>
    <row r="60" spans="1:32">
      <c r="A60" s="138" t="s">
        <v>123</v>
      </c>
    </row>
    <row r="62" spans="1:32" s="5" customFormat="1">
      <c r="A62" s="19" t="s">
        <v>124</v>
      </c>
      <c r="B62" s="19" t="s">
        <v>125</v>
      </c>
      <c r="C62" s="19" t="s">
        <v>126</v>
      </c>
      <c r="D62" s="19" t="s">
        <v>127</v>
      </c>
      <c r="E62" s="19" t="s">
        <v>128</v>
      </c>
      <c r="F62" s="19" t="s">
        <v>129</v>
      </c>
      <c r="G62" s="19" t="s">
        <v>130</v>
      </c>
      <c r="H62" s="19" t="s">
        <v>131</v>
      </c>
      <c r="I62" s="19" t="s">
        <v>132</v>
      </c>
      <c r="J62" s="19" t="s">
        <v>133</v>
      </c>
      <c r="K62" s="19" t="s">
        <v>134</v>
      </c>
      <c r="L62" s="19" t="s">
        <v>135</v>
      </c>
      <c r="M62" s="19" t="s">
        <v>136</v>
      </c>
      <c r="N62" s="19" t="s">
        <v>137</v>
      </c>
      <c r="O62" s="19" t="s">
        <v>138</v>
      </c>
      <c r="P62" s="19" t="s">
        <v>139</v>
      </c>
      <c r="Q62" s="19" t="s">
        <v>140</v>
      </c>
      <c r="R62" s="19" t="s">
        <v>141</v>
      </c>
      <c r="S62" s="19" t="s">
        <v>142</v>
      </c>
      <c r="T62" s="19" t="s">
        <v>143</v>
      </c>
      <c r="U62" s="19" t="s">
        <v>92</v>
      </c>
      <c r="V62" s="19" t="s">
        <v>144</v>
      </c>
      <c r="W62" s="19" t="s">
        <v>145</v>
      </c>
      <c r="X62" s="19" t="s">
        <v>146</v>
      </c>
      <c r="Y62" s="19" t="s">
        <v>147</v>
      </c>
      <c r="Z62" s="19" t="s">
        <v>148</v>
      </c>
      <c r="AA62" s="19" t="s">
        <v>149</v>
      </c>
      <c r="AB62" s="19" t="s">
        <v>150</v>
      </c>
      <c r="AC62" s="19" t="s">
        <v>151</v>
      </c>
      <c r="AD62" s="19" t="s">
        <v>152</v>
      </c>
    </row>
    <row r="63" spans="1:32" s="5" customFormat="1">
      <c r="A63" s="5" t="s">
        <v>341</v>
      </c>
      <c r="B63" s="5" t="s">
        <v>153</v>
      </c>
      <c r="C63" s="5" t="s">
        <v>378</v>
      </c>
      <c r="D63" s="5" t="s">
        <v>378</v>
      </c>
      <c r="E63" s="5" t="s">
        <v>379</v>
      </c>
      <c r="F63" s="5" t="s">
        <v>377</v>
      </c>
      <c r="G63" s="5" t="s">
        <v>157</v>
      </c>
      <c r="H63" s="5" t="s">
        <v>158</v>
      </c>
      <c r="I63" s="5" t="s">
        <v>177</v>
      </c>
      <c r="J63" s="5" t="s">
        <v>178</v>
      </c>
      <c r="K63" s="5" t="s">
        <v>179</v>
      </c>
      <c r="L63" s="5" t="s">
        <v>180</v>
      </c>
      <c r="M63" s="5" t="s">
        <v>178</v>
      </c>
      <c r="N63" s="5" t="s">
        <v>78</v>
      </c>
      <c r="O63" s="5" t="s">
        <v>163</v>
      </c>
      <c r="P63" s="33">
        <v>156591</v>
      </c>
      <c r="Q63" s="33">
        <v>1849.12</v>
      </c>
      <c r="R63" s="5">
        <v>84.683999999999997</v>
      </c>
      <c r="S63" s="5" t="s">
        <v>164</v>
      </c>
      <c r="T63" s="40">
        <f>P63/R63</f>
        <v>1849.1214397052572</v>
      </c>
      <c r="U63" s="5" t="s">
        <v>342</v>
      </c>
      <c r="V63" s="5" t="s">
        <v>80</v>
      </c>
      <c r="W63" s="5" t="s">
        <v>85</v>
      </c>
      <c r="X63" s="5" t="s">
        <v>81</v>
      </c>
      <c r="Y63" s="5" t="s">
        <v>153</v>
      </c>
      <c r="Z63" s="5" t="s">
        <v>380</v>
      </c>
      <c r="AA63" s="5" t="s">
        <v>166</v>
      </c>
      <c r="AB63" s="5" t="s">
        <v>166</v>
      </c>
      <c r="AC63" s="5" t="s">
        <v>79</v>
      </c>
      <c r="AD63" s="5" t="s">
        <v>381</v>
      </c>
    </row>
    <row r="64" spans="1:32" s="5" customFormat="1">
      <c r="A64" s="5" t="s">
        <v>341</v>
      </c>
      <c r="B64" s="5" t="s">
        <v>153</v>
      </c>
      <c r="C64" s="5" t="s">
        <v>378</v>
      </c>
      <c r="D64" s="5" t="s">
        <v>378</v>
      </c>
      <c r="E64" s="5" t="s">
        <v>382</v>
      </c>
      <c r="F64" s="5" t="s">
        <v>377</v>
      </c>
      <c r="G64" s="5" t="s">
        <v>157</v>
      </c>
      <c r="H64" s="5" t="s">
        <v>183</v>
      </c>
      <c r="I64" s="5" t="s">
        <v>184</v>
      </c>
      <c r="J64" s="5" t="s">
        <v>185</v>
      </c>
      <c r="K64" s="5" t="s">
        <v>186</v>
      </c>
      <c r="L64" s="5" t="s">
        <v>187</v>
      </c>
      <c r="M64" s="5" t="s">
        <v>185</v>
      </c>
      <c r="N64" s="5" t="s">
        <v>78</v>
      </c>
      <c r="O64" s="5" t="s">
        <v>174</v>
      </c>
      <c r="P64" s="33">
        <v>-156591</v>
      </c>
      <c r="Q64" s="33">
        <v>-1849.12</v>
      </c>
      <c r="R64" s="5">
        <v>84.683999999999997</v>
      </c>
      <c r="S64" s="5" t="s">
        <v>164</v>
      </c>
      <c r="T64" s="40">
        <f>P64/R64</f>
        <v>-1849.1214397052572</v>
      </c>
      <c r="U64" s="5" t="s">
        <v>342</v>
      </c>
      <c r="V64" s="5" t="s">
        <v>80</v>
      </c>
      <c r="W64" s="5" t="s">
        <v>85</v>
      </c>
      <c r="X64" s="5" t="s">
        <v>81</v>
      </c>
      <c r="Y64" s="5" t="s">
        <v>153</v>
      </c>
      <c r="Z64" s="5" t="s">
        <v>380</v>
      </c>
      <c r="AA64" s="5" t="s">
        <v>166</v>
      </c>
      <c r="AB64" s="5" t="s">
        <v>166</v>
      </c>
      <c r="AC64" s="5" t="s">
        <v>79</v>
      </c>
      <c r="AD64" s="5" t="s">
        <v>381</v>
      </c>
    </row>
    <row r="65" spans="1:46" s="5" customFormat="1">
      <c r="A65" s="5" t="s">
        <v>341</v>
      </c>
      <c r="B65" s="5" t="s">
        <v>153</v>
      </c>
      <c r="C65" s="5" t="s">
        <v>378</v>
      </c>
      <c r="D65" s="5" t="s">
        <v>378</v>
      </c>
      <c r="E65" s="5" t="s">
        <v>383</v>
      </c>
      <c r="F65" s="5" t="s">
        <v>375</v>
      </c>
      <c r="G65" s="5" t="s">
        <v>157</v>
      </c>
      <c r="H65" s="5" t="s">
        <v>158</v>
      </c>
      <c r="I65" s="5" t="s">
        <v>177</v>
      </c>
      <c r="J65" s="5" t="s">
        <v>178</v>
      </c>
      <c r="K65" s="5" t="s">
        <v>179</v>
      </c>
      <c r="L65" s="5" t="s">
        <v>180</v>
      </c>
      <c r="M65" s="5" t="s">
        <v>178</v>
      </c>
      <c r="N65" s="5" t="s">
        <v>78</v>
      </c>
      <c r="O65" s="5" t="s">
        <v>163</v>
      </c>
      <c r="P65" s="33">
        <v>295148</v>
      </c>
      <c r="Q65" s="33">
        <v>3485.29</v>
      </c>
      <c r="R65" s="5">
        <v>84.683999999999997</v>
      </c>
      <c r="S65" s="5" t="s">
        <v>164</v>
      </c>
      <c r="T65" s="40">
        <f>P65/R65</f>
        <v>3485.2864767842807</v>
      </c>
      <c r="U65" s="5" t="s">
        <v>342</v>
      </c>
      <c r="V65" s="5" t="s">
        <v>80</v>
      </c>
      <c r="W65" s="5" t="s">
        <v>85</v>
      </c>
      <c r="X65" s="5" t="s">
        <v>81</v>
      </c>
      <c r="Y65" s="5" t="s">
        <v>153</v>
      </c>
      <c r="Z65" s="5" t="s">
        <v>384</v>
      </c>
      <c r="AA65" s="5" t="s">
        <v>166</v>
      </c>
      <c r="AB65" s="5" t="s">
        <v>166</v>
      </c>
      <c r="AC65" s="5" t="s">
        <v>79</v>
      </c>
      <c r="AD65" s="5" t="s">
        <v>385</v>
      </c>
    </row>
    <row r="66" spans="1:46" s="5" customFormat="1">
      <c r="A66" s="5" t="s">
        <v>341</v>
      </c>
      <c r="B66" s="5" t="s">
        <v>153</v>
      </c>
      <c r="C66" s="5" t="s">
        <v>378</v>
      </c>
      <c r="D66" s="5" t="s">
        <v>378</v>
      </c>
      <c r="E66" s="5" t="s">
        <v>386</v>
      </c>
      <c r="F66" s="5" t="s">
        <v>375</v>
      </c>
      <c r="G66" s="5" t="s">
        <v>157</v>
      </c>
      <c r="H66" s="5" t="s">
        <v>183</v>
      </c>
      <c r="I66" s="5" t="s">
        <v>184</v>
      </c>
      <c r="J66" s="5" t="s">
        <v>185</v>
      </c>
      <c r="K66" s="5" t="s">
        <v>186</v>
      </c>
      <c r="L66" s="5" t="s">
        <v>187</v>
      </c>
      <c r="M66" s="5" t="s">
        <v>185</v>
      </c>
      <c r="N66" s="5" t="s">
        <v>78</v>
      </c>
      <c r="O66" s="5" t="s">
        <v>174</v>
      </c>
      <c r="P66" s="33">
        <v>-295148</v>
      </c>
      <c r="Q66" s="33">
        <v>-3485.29</v>
      </c>
      <c r="R66" s="5">
        <v>84.683999999999997</v>
      </c>
      <c r="S66" s="5" t="s">
        <v>164</v>
      </c>
      <c r="T66" s="40">
        <f>P66/R66</f>
        <v>-3485.2864767842807</v>
      </c>
      <c r="U66" s="5" t="s">
        <v>342</v>
      </c>
      <c r="V66" s="5" t="s">
        <v>80</v>
      </c>
      <c r="W66" s="5" t="s">
        <v>85</v>
      </c>
      <c r="X66" s="5" t="s">
        <v>81</v>
      </c>
      <c r="Y66" s="5" t="s">
        <v>153</v>
      </c>
      <c r="Z66" s="5" t="s">
        <v>384</v>
      </c>
      <c r="AA66" s="5" t="s">
        <v>166</v>
      </c>
      <c r="AB66" s="5" t="s">
        <v>166</v>
      </c>
      <c r="AC66" s="5" t="s">
        <v>79</v>
      </c>
      <c r="AD66" s="5" t="s">
        <v>385</v>
      </c>
    </row>
    <row r="68" spans="1:46">
      <c r="P68" s="28">
        <f>M57*K51+M57+M57</f>
        <v>295148</v>
      </c>
    </row>
    <row r="69" spans="1:46">
      <c r="P69" s="28">
        <f>M58*K51+M58+M58</f>
        <v>156591</v>
      </c>
    </row>
    <row r="70" spans="1:46">
      <c r="A70" s="138" t="s">
        <v>197</v>
      </c>
    </row>
    <row r="72" spans="1:46" s="6" customFormat="1" ht="32" customHeight="1">
      <c r="A72" s="46" t="s">
        <v>124</v>
      </c>
      <c r="B72" s="46" t="s">
        <v>198</v>
      </c>
      <c r="C72" s="46" t="s">
        <v>199</v>
      </c>
      <c r="D72" s="46" t="s">
        <v>200</v>
      </c>
      <c r="E72" s="46" t="s">
        <v>127</v>
      </c>
      <c r="F72" s="46" t="s">
        <v>201</v>
      </c>
      <c r="G72" s="46" t="s">
        <v>202</v>
      </c>
      <c r="H72" s="46" t="s">
        <v>203</v>
      </c>
      <c r="I72" s="46" t="s">
        <v>92</v>
      </c>
      <c r="J72" s="46" t="s">
        <v>204</v>
      </c>
      <c r="K72" s="58" t="s">
        <v>100</v>
      </c>
      <c r="L72" s="46" t="s">
        <v>142</v>
      </c>
      <c r="M72" s="121" t="s">
        <v>205</v>
      </c>
      <c r="N72" s="121"/>
      <c r="O72" s="121" t="s">
        <v>113</v>
      </c>
      <c r="P72" s="121"/>
      <c r="Q72" s="121" t="s">
        <v>146</v>
      </c>
      <c r="R72" s="121"/>
      <c r="S72" s="121" t="s">
        <v>206</v>
      </c>
      <c r="T72" s="121"/>
      <c r="U72" s="46" t="s">
        <v>207</v>
      </c>
      <c r="V72" s="46" t="s">
        <v>208</v>
      </c>
      <c r="W72" s="46" t="s">
        <v>209</v>
      </c>
      <c r="X72" s="122" t="s">
        <v>98</v>
      </c>
      <c r="Y72" s="122"/>
      <c r="Z72" s="122" t="s">
        <v>210</v>
      </c>
      <c r="AA72" s="122"/>
      <c r="AB72" s="122" t="s">
        <v>211</v>
      </c>
      <c r="AC72" s="122"/>
      <c r="AD72" s="58" t="s">
        <v>212</v>
      </c>
      <c r="AE72" s="58" t="s">
        <v>213</v>
      </c>
      <c r="AF72" s="58" t="s">
        <v>214</v>
      </c>
      <c r="AG72" s="58" t="s">
        <v>215</v>
      </c>
      <c r="AH72" s="58" t="s">
        <v>216</v>
      </c>
      <c r="AI72" s="58" t="s">
        <v>217</v>
      </c>
      <c r="AJ72" s="58" t="s">
        <v>218</v>
      </c>
      <c r="AK72" s="58" t="s">
        <v>219</v>
      </c>
      <c r="AL72" s="58" t="s">
        <v>220</v>
      </c>
      <c r="AM72" s="58" t="s">
        <v>221</v>
      </c>
      <c r="AN72" s="58" t="s">
        <v>222</v>
      </c>
      <c r="AO72" s="73" t="s">
        <v>223</v>
      </c>
      <c r="AP72" s="74"/>
      <c r="AQ72" s="122" t="s">
        <v>224</v>
      </c>
      <c r="AR72" s="122"/>
      <c r="AS72" s="75" t="s">
        <v>225</v>
      </c>
    </row>
    <row r="73" spans="1:46" s="6" customFormat="1" ht="15" customHeight="1">
      <c r="A73" s="132" t="s">
        <v>340</v>
      </c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</row>
    <row r="74" spans="1:46" s="6" customFormat="1" ht="27" customHeight="1">
      <c r="A74" s="47" t="s">
        <v>341</v>
      </c>
      <c r="B74" s="47" t="s">
        <v>387</v>
      </c>
      <c r="C74" s="47" t="s">
        <v>388</v>
      </c>
      <c r="D74" s="47" t="s">
        <v>389</v>
      </c>
      <c r="E74" s="48">
        <v>45631</v>
      </c>
      <c r="F74" s="48">
        <v>45631</v>
      </c>
      <c r="G74" s="47" t="s">
        <v>375</v>
      </c>
      <c r="H74" s="47" t="s">
        <v>85</v>
      </c>
      <c r="I74" s="47" t="s">
        <v>342</v>
      </c>
      <c r="J74" s="47" t="s">
        <v>345</v>
      </c>
      <c r="K74" s="59">
        <v>125</v>
      </c>
      <c r="L74" s="60" t="s">
        <v>164</v>
      </c>
      <c r="N74" s="123" t="s">
        <v>230</v>
      </c>
      <c r="O74" s="123"/>
      <c r="P74" s="123" t="s">
        <v>82</v>
      </c>
      <c r="Q74" s="123"/>
      <c r="R74" s="123" t="s">
        <v>81</v>
      </c>
      <c r="S74" s="123"/>
      <c r="T74" s="124" t="s">
        <v>231</v>
      </c>
      <c r="U74" s="124"/>
      <c r="Y74" s="125">
        <v>2324</v>
      </c>
      <c r="Z74" s="125"/>
      <c r="AA74" s="126">
        <v>125</v>
      </c>
      <c r="AB74" s="126"/>
      <c r="AC74" s="59">
        <v>3430.4</v>
      </c>
      <c r="AD74" s="59" t="s">
        <v>232</v>
      </c>
      <c r="AE74" s="59">
        <v>27.44</v>
      </c>
      <c r="AF74" s="70">
        <v>0.79990671641791</v>
      </c>
      <c r="AG74" s="59">
        <v>27.44</v>
      </c>
      <c r="AH74" s="59">
        <v>0</v>
      </c>
      <c r="AI74" s="59">
        <v>0</v>
      </c>
      <c r="AJ74" s="59">
        <v>295148</v>
      </c>
      <c r="AK74" s="59">
        <v>3485.29</v>
      </c>
      <c r="AL74" s="59">
        <v>295148</v>
      </c>
      <c r="AM74" s="59">
        <v>3485.29</v>
      </c>
      <c r="AN74" s="59">
        <v>0</v>
      </c>
      <c r="AO74" s="59">
        <v>0</v>
      </c>
      <c r="AQ74" s="125">
        <v>0</v>
      </c>
      <c r="AR74" s="125"/>
      <c r="AS74" s="59">
        <v>0</v>
      </c>
    </row>
    <row r="75" spans="1:46" s="6" customFormat="1" ht="27" customHeight="1">
      <c r="A75" s="47" t="s">
        <v>341</v>
      </c>
      <c r="B75" s="47" t="s">
        <v>387</v>
      </c>
      <c r="C75" s="47" t="s">
        <v>388</v>
      </c>
      <c r="D75" s="47" t="s">
        <v>389</v>
      </c>
      <c r="E75" s="48">
        <v>45631</v>
      </c>
      <c r="F75" s="48">
        <v>45632</v>
      </c>
      <c r="G75" s="47" t="s">
        <v>377</v>
      </c>
      <c r="H75" s="47" t="s">
        <v>85</v>
      </c>
      <c r="I75" s="47" t="s">
        <v>342</v>
      </c>
      <c r="J75" s="47" t="s">
        <v>345</v>
      </c>
      <c r="K75" s="59">
        <v>125</v>
      </c>
      <c r="L75" s="60" t="s">
        <v>164</v>
      </c>
      <c r="M75" s="61"/>
      <c r="N75" s="123" t="s">
        <v>230</v>
      </c>
      <c r="O75" s="123"/>
      <c r="P75" s="123" t="s">
        <v>82</v>
      </c>
      <c r="Q75" s="123"/>
      <c r="R75" s="123" t="s">
        <v>81</v>
      </c>
      <c r="S75" s="123"/>
      <c r="T75" s="124" t="s">
        <v>231</v>
      </c>
      <c r="U75" s="124"/>
      <c r="V75" s="61"/>
      <c r="W75" s="61"/>
      <c r="X75" s="61"/>
      <c r="Y75" s="125">
        <v>1233</v>
      </c>
      <c r="Z75" s="125"/>
      <c r="AA75" s="126">
        <v>125</v>
      </c>
      <c r="AB75" s="126"/>
      <c r="AC75" s="59">
        <v>1820</v>
      </c>
      <c r="AD75" s="59" t="s">
        <v>232</v>
      </c>
      <c r="AE75" s="59">
        <v>14.56</v>
      </c>
      <c r="AF75" s="70">
        <v>0.8</v>
      </c>
      <c r="AG75" s="59">
        <v>14.56</v>
      </c>
      <c r="AH75" s="59">
        <v>0</v>
      </c>
      <c r="AI75" s="59">
        <v>0</v>
      </c>
      <c r="AJ75" s="59">
        <v>156591</v>
      </c>
      <c r="AK75" s="59">
        <v>1849.12</v>
      </c>
      <c r="AL75" s="59">
        <v>156591</v>
      </c>
      <c r="AM75" s="59">
        <v>1849.12</v>
      </c>
      <c r="AN75" s="59">
        <v>0</v>
      </c>
      <c r="AO75" s="59">
        <v>0</v>
      </c>
      <c r="AP75" s="61"/>
      <c r="AQ75" s="125">
        <v>0</v>
      </c>
      <c r="AR75" s="125"/>
      <c r="AS75" s="59">
        <v>0</v>
      </c>
      <c r="AT75" s="61"/>
    </row>
    <row r="77" spans="1:46">
      <c r="AC77" s="27">
        <f>Y74*AA74/R63</f>
        <v>3430.4000755750794</v>
      </c>
    </row>
    <row r="78" spans="1:46">
      <c r="AC78" s="27">
        <f>Y75*AA75/R64</f>
        <v>1820.0014170327336</v>
      </c>
    </row>
    <row r="79" spans="1:46">
      <c r="A79" s="138" t="s">
        <v>252</v>
      </c>
    </row>
    <row r="81" spans="1:7" customFormat="1" ht="14.5">
      <c r="A81" s="49" t="s">
        <v>253</v>
      </c>
      <c r="B81" s="49" t="s">
        <v>254</v>
      </c>
      <c r="C81" s="49" t="s">
        <v>255</v>
      </c>
      <c r="D81" s="49" t="s">
        <v>256</v>
      </c>
      <c r="E81" s="49" t="s">
        <v>257</v>
      </c>
      <c r="F81" s="49" t="s">
        <v>258</v>
      </c>
      <c r="G81" s="49" t="s">
        <v>259</v>
      </c>
    </row>
    <row r="82" spans="1:7" customFormat="1" ht="13" customHeight="1">
      <c r="A82" s="50" t="s">
        <v>342</v>
      </c>
      <c r="B82" s="51"/>
      <c r="C82" s="3" t="s">
        <v>342</v>
      </c>
      <c r="D82" s="52">
        <v>45631</v>
      </c>
      <c r="E82" s="53" t="s">
        <v>82</v>
      </c>
      <c r="F82" s="53">
        <v>200</v>
      </c>
      <c r="G82" s="53"/>
    </row>
    <row r="107" spans="1:32">
      <c r="A107" s="138" t="s">
        <v>90</v>
      </c>
    </row>
    <row r="109" spans="1:32" s="7" customFormat="1" ht="30" customHeight="1">
      <c r="A109" s="54" t="s">
        <v>91</v>
      </c>
      <c r="B109" s="135" t="s">
        <v>92</v>
      </c>
      <c r="C109" s="135"/>
      <c r="D109" s="54" t="s">
        <v>93</v>
      </c>
      <c r="E109" s="54" t="s">
        <v>94</v>
      </c>
      <c r="F109" s="54" t="s">
        <v>95</v>
      </c>
      <c r="G109" s="54" t="s">
        <v>96</v>
      </c>
      <c r="H109" s="54" t="s">
        <v>97</v>
      </c>
      <c r="I109" s="62" t="s">
        <v>98</v>
      </c>
      <c r="J109" s="62" t="s">
        <v>99</v>
      </c>
      <c r="K109" s="62" t="s">
        <v>100</v>
      </c>
      <c r="L109" s="62" t="s">
        <v>101</v>
      </c>
      <c r="M109" s="62" t="s">
        <v>102</v>
      </c>
      <c r="N109" s="62" t="s">
        <v>103</v>
      </c>
      <c r="O109" s="54" t="s">
        <v>104</v>
      </c>
      <c r="P109" s="62" t="s">
        <v>105</v>
      </c>
      <c r="Q109" s="62" t="s">
        <v>106</v>
      </c>
      <c r="R109" s="54" t="s">
        <v>107</v>
      </c>
      <c r="S109" s="54" t="s">
        <v>108</v>
      </c>
      <c r="T109" s="54" t="s">
        <v>109</v>
      </c>
      <c r="U109" s="54" t="s">
        <v>110</v>
      </c>
      <c r="V109" s="54" t="s">
        <v>111</v>
      </c>
      <c r="W109" s="54" t="s">
        <v>112</v>
      </c>
      <c r="X109" s="62" t="s">
        <v>113</v>
      </c>
      <c r="Y109" s="54" t="s">
        <v>114</v>
      </c>
      <c r="Z109" s="54" t="s">
        <v>115</v>
      </c>
      <c r="AA109" s="54" t="s">
        <v>116</v>
      </c>
      <c r="AB109" s="54" t="s">
        <v>117</v>
      </c>
      <c r="AC109" s="54" t="s">
        <v>118</v>
      </c>
      <c r="AD109" s="54" t="s">
        <v>119</v>
      </c>
      <c r="AE109" s="54" t="s">
        <v>120</v>
      </c>
      <c r="AF109" s="71" t="s">
        <v>121</v>
      </c>
    </row>
    <row r="110" spans="1:32" s="7" customFormat="1" ht="21.5" customHeight="1">
      <c r="B110" s="131" t="s">
        <v>342</v>
      </c>
      <c r="C110" s="131"/>
      <c r="D110" s="51" t="s">
        <v>345</v>
      </c>
      <c r="F110" s="51" t="s">
        <v>78</v>
      </c>
      <c r="H110" s="55">
        <v>45688</v>
      </c>
      <c r="I110" s="63">
        <v>3557</v>
      </c>
      <c r="J110" s="64">
        <v>127</v>
      </c>
      <c r="K110" s="65">
        <v>125</v>
      </c>
      <c r="L110" s="66">
        <v>451739</v>
      </c>
      <c r="M110" s="66">
        <v>5334.41</v>
      </c>
      <c r="N110" s="64">
        <v>200</v>
      </c>
      <c r="O110" s="66">
        <v>711400</v>
      </c>
      <c r="P110" s="66">
        <v>8400.64</v>
      </c>
      <c r="Q110" s="69">
        <v>5.6015598584916698E-2</v>
      </c>
      <c r="R110" s="66">
        <v>0</v>
      </c>
      <c r="S110" s="66">
        <v>0</v>
      </c>
      <c r="T110" s="66">
        <v>0</v>
      </c>
      <c r="U110" s="66">
        <v>0</v>
      </c>
      <c r="V110" s="66">
        <v>5334.41</v>
      </c>
      <c r="W110" s="66">
        <v>0</v>
      </c>
      <c r="X110" s="65">
        <v>84.683999999999997</v>
      </c>
      <c r="Y110" s="66">
        <v>259661</v>
      </c>
      <c r="Z110" s="66">
        <v>3066.23</v>
      </c>
      <c r="AA110" s="66">
        <v>0</v>
      </c>
      <c r="AB110" s="66">
        <v>0</v>
      </c>
      <c r="AC110" s="66">
        <v>0</v>
      </c>
      <c r="AD110" s="66">
        <v>259661</v>
      </c>
      <c r="AE110" s="66">
        <v>3066.23</v>
      </c>
      <c r="AF110" s="72">
        <v>45631</v>
      </c>
    </row>
    <row r="111" spans="1:32">
      <c r="O111" s="28">
        <f>I110*N110</f>
        <v>711400</v>
      </c>
      <c r="P111" s="27">
        <f>O110/R116</f>
        <v>8400.6423881725004</v>
      </c>
      <c r="Y111" s="27">
        <f>O110-L110</f>
        <v>259661</v>
      </c>
      <c r="Z111" s="27">
        <f>P110-M110</f>
        <v>3066.2299999999996</v>
      </c>
      <c r="AC111" s="27">
        <f>Z110-AE110</f>
        <v>0</v>
      </c>
      <c r="AD111" s="27">
        <f>O110-L110</f>
        <v>259661</v>
      </c>
      <c r="AE111" s="27">
        <f>AD110/R116</f>
        <v>3066.2344716829625</v>
      </c>
    </row>
    <row r="113" spans="1:30">
      <c r="A113" s="138" t="s">
        <v>123</v>
      </c>
    </row>
    <row r="115" spans="1:30" s="6" customFormat="1" ht="14.5">
      <c r="A115" s="56" t="s">
        <v>124</v>
      </c>
      <c r="B115" s="56" t="s">
        <v>125</v>
      </c>
      <c r="C115" s="56" t="s">
        <v>126</v>
      </c>
      <c r="D115" s="56" t="s">
        <v>127</v>
      </c>
      <c r="E115" s="56" t="s">
        <v>128</v>
      </c>
      <c r="F115" s="56" t="s">
        <v>129</v>
      </c>
      <c r="G115" s="56" t="s">
        <v>130</v>
      </c>
      <c r="H115" s="56" t="s">
        <v>131</v>
      </c>
      <c r="I115" s="56" t="s">
        <v>132</v>
      </c>
      <c r="J115" s="56" t="s">
        <v>133</v>
      </c>
      <c r="K115" s="56" t="s">
        <v>134</v>
      </c>
      <c r="L115" s="56" t="s">
        <v>135</v>
      </c>
      <c r="M115" s="56" t="s">
        <v>136</v>
      </c>
      <c r="N115" s="56" t="s">
        <v>137</v>
      </c>
      <c r="O115" s="56" t="s">
        <v>138</v>
      </c>
      <c r="P115" s="56" t="s">
        <v>139</v>
      </c>
      <c r="Q115" s="56" t="s">
        <v>140</v>
      </c>
      <c r="R115" s="56" t="s">
        <v>141</v>
      </c>
      <c r="S115" s="56" t="s">
        <v>142</v>
      </c>
      <c r="T115" s="56" t="s">
        <v>143</v>
      </c>
      <c r="U115" s="56" t="s">
        <v>92</v>
      </c>
      <c r="V115" s="56" t="s">
        <v>144</v>
      </c>
      <c r="W115" s="56" t="s">
        <v>145</v>
      </c>
      <c r="X115" s="56" t="s">
        <v>146</v>
      </c>
      <c r="Y115" s="56" t="s">
        <v>147</v>
      </c>
      <c r="Z115" s="56" t="s">
        <v>148</v>
      </c>
      <c r="AA115" s="56" t="s">
        <v>149</v>
      </c>
      <c r="AB115" s="56" t="s">
        <v>150</v>
      </c>
      <c r="AC115" s="56" t="s">
        <v>151</v>
      </c>
      <c r="AD115" s="56" t="s">
        <v>152</v>
      </c>
    </row>
    <row r="116" spans="1:30" s="6" customFormat="1" ht="14.5">
      <c r="A116" s="6" t="s">
        <v>341</v>
      </c>
      <c r="B116" s="6" t="s">
        <v>153</v>
      </c>
      <c r="C116" s="6" t="s">
        <v>378</v>
      </c>
      <c r="D116" s="6" t="s">
        <v>378</v>
      </c>
      <c r="E116" s="6" t="s">
        <v>390</v>
      </c>
      <c r="F116" s="6" t="s">
        <v>391</v>
      </c>
      <c r="G116" s="6" t="s">
        <v>236</v>
      </c>
      <c r="H116" s="6" t="s">
        <v>237</v>
      </c>
      <c r="I116" s="6" t="s">
        <v>238</v>
      </c>
      <c r="J116" s="6" t="s">
        <v>239</v>
      </c>
      <c r="K116" s="6" t="s">
        <v>240</v>
      </c>
      <c r="L116" s="6" t="s">
        <v>241</v>
      </c>
      <c r="M116" s="6" t="s">
        <v>239</v>
      </c>
      <c r="N116" s="6" t="s">
        <v>78</v>
      </c>
      <c r="O116" s="6" t="s">
        <v>163</v>
      </c>
      <c r="P116" s="67">
        <v>259661</v>
      </c>
      <c r="Q116" s="67">
        <v>3066.23</v>
      </c>
      <c r="R116" s="6">
        <v>84.683999999999997</v>
      </c>
      <c r="S116" s="6" t="s">
        <v>164</v>
      </c>
      <c r="T116" s="6" t="s">
        <v>153</v>
      </c>
      <c r="U116" s="6" t="s">
        <v>342</v>
      </c>
      <c r="V116" s="6" t="s">
        <v>80</v>
      </c>
      <c r="W116" s="6" t="s">
        <v>242</v>
      </c>
      <c r="X116" s="6" t="s">
        <v>153</v>
      </c>
      <c r="Y116" s="6" t="s">
        <v>153</v>
      </c>
      <c r="Z116" s="6" t="s">
        <v>392</v>
      </c>
      <c r="AA116" s="6" t="s">
        <v>166</v>
      </c>
      <c r="AB116" s="6" t="s">
        <v>244</v>
      </c>
      <c r="AC116" s="6" t="s">
        <v>79</v>
      </c>
      <c r="AD116" s="6" t="s">
        <v>391</v>
      </c>
    </row>
    <row r="117" spans="1:30" s="6" customFormat="1" ht="14.5">
      <c r="A117" s="6" t="s">
        <v>341</v>
      </c>
      <c r="B117" s="6" t="s">
        <v>153</v>
      </c>
      <c r="C117" s="6" t="s">
        <v>378</v>
      </c>
      <c r="D117" s="6" t="s">
        <v>378</v>
      </c>
      <c r="E117" s="6" t="s">
        <v>393</v>
      </c>
      <c r="F117" s="6" t="s">
        <v>391</v>
      </c>
      <c r="G117" s="6" t="s">
        <v>236</v>
      </c>
      <c r="H117" s="6" t="s">
        <v>183</v>
      </c>
      <c r="I117" s="6" t="s">
        <v>246</v>
      </c>
      <c r="J117" s="6" t="s">
        <v>247</v>
      </c>
      <c r="K117" s="6" t="s">
        <v>248</v>
      </c>
      <c r="L117" s="6" t="s">
        <v>249</v>
      </c>
      <c r="M117" s="6" t="s">
        <v>247</v>
      </c>
      <c r="N117" s="6" t="s">
        <v>78</v>
      </c>
      <c r="O117" s="6" t="s">
        <v>174</v>
      </c>
      <c r="P117" s="67">
        <v>-259661</v>
      </c>
      <c r="Q117" s="67">
        <v>-3066.23</v>
      </c>
      <c r="R117" s="6">
        <v>84.683999999999997</v>
      </c>
      <c r="S117" s="6" t="s">
        <v>164</v>
      </c>
      <c r="T117" s="6" t="s">
        <v>153</v>
      </c>
      <c r="U117" s="6" t="s">
        <v>342</v>
      </c>
      <c r="V117" s="6" t="s">
        <v>80</v>
      </c>
      <c r="W117" s="6" t="s">
        <v>242</v>
      </c>
      <c r="X117" s="6" t="s">
        <v>153</v>
      </c>
      <c r="Y117" s="6" t="s">
        <v>153</v>
      </c>
      <c r="Z117" s="6" t="s">
        <v>392</v>
      </c>
      <c r="AA117" s="6" t="s">
        <v>166</v>
      </c>
      <c r="AB117" s="6" t="s">
        <v>244</v>
      </c>
      <c r="AC117" s="6" t="s">
        <v>79</v>
      </c>
      <c r="AD117" s="6" t="s">
        <v>391</v>
      </c>
    </row>
    <row r="118" spans="1:30" s="6" customFormat="1" ht="14.5">
      <c r="A118" s="6" t="s">
        <v>341</v>
      </c>
      <c r="B118" s="6" t="s">
        <v>153</v>
      </c>
      <c r="C118" s="6" t="s">
        <v>378</v>
      </c>
      <c r="D118" s="6" t="s">
        <v>378</v>
      </c>
      <c r="E118" s="6" t="s">
        <v>379</v>
      </c>
      <c r="F118" s="6" t="s">
        <v>377</v>
      </c>
      <c r="G118" s="6" t="s">
        <v>157</v>
      </c>
      <c r="H118" s="6" t="s">
        <v>158</v>
      </c>
      <c r="I118" s="6" t="s">
        <v>177</v>
      </c>
      <c r="J118" s="6" t="s">
        <v>178</v>
      </c>
      <c r="K118" s="6" t="s">
        <v>179</v>
      </c>
      <c r="L118" s="6" t="s">
        <v>180</v>
      </c>
      <c r="M118" s="6" t="s">
        <v>178</v>
      </c>
      <c r="N118" s="6" t="s">
        <v>78</v>
      </c>
      <c r="O118" s="6" t="s">
        <v>163</v>
      </c>
      <c r="P118" s="67">
        <v>156591</v>
      </c>
      <c r="Q118" s="67">
        <v>1849.12</v>
      </c>
      <c r="R118" s="6">
        <v>84.683999999999997</v>
      </c>
      <c r="S118" s="6" t="s">
        <v>164</v>
      </c>
      <c r="T118" s="6" t="s">
        <v>153</v>
      </c>
      <c r="U118" s="6" t="s">
        <v>342</v>
      </c>
      <c r="V118" s="6" t="s">
        <v>80</v>
      </c>
      <c r="W118" s="6" t="s">
        <v>85</v>
      </c>
      <c r="X118" s="6" t="s">
        <v>81</v>
      </c>
      <c r="Y118" s="6" t="s">
        <v>153</v>
      </c>
      <c r="Z118" s="6" t="s">
        <v>380</v>
      </c>
      <c r="AA118" s="6" t="s">
        <v>166</v>
      </c>
      <c r="AB118" s="6" t="s">
        <v>166</v>
      </c>
      <c r="AC118" s="6" t="s">
        <v>79</v>
      </c>
      <c r="AD118" s="6" t="s">
        <v>381</v>
      </c>
    </row>
    <row r="119" spans="1:30" s="6" customFormat="1" ht="14.5">
      <c r="A119" s="6" t="s">
        <v>341</v>
      </c>
      <c r="B119" s="6" t="s">
        <v>153</v>
      </c>
      <c r="C119" s="6" t="s">
        <v>378</v>
      </c>
      <c r="D119" s="6" t="s">
        <v>378</v>
      </c>
      <c r="E119" s="6" t="s">
        <v>382</v>
      </c>
      <c r="F119" s="6" t="s">
        <v>377</v>
      </c>
      <c r="G119" s="6" t="s">
        <v>157</v>
      </c>
      <c r="H119" s="6" t="s">
        <v>183</v>
      </c>
      <c r="I119" s="6" t="s">
        <v>184</v>
      </c>
      <c r="J119" s="6" t="s">
        <v>185</v>
      </c>
      <c r="K119" s="6" t="s">
        <v>186</v>
      </c>
      <c r="L119" s="6" t="s">
        <v>187</v>
      </c>
      <c r="M119" s="6" t="s">
        <v>185</v>
      </c>
      <c r="N119" s="6" t="s">
        <v>78</v>
      </c>
      <c r="O119" s="6" t="s">
        <v>174</v>
      </c>
      <c r="P119" s="67">
        <v>-156591</v>
      </c>
      <c r="Q119" s="67">
        <v>-1849.12</v>
      </c>
      <c r="R119" s="6">
        <v>84.683999999999997</v>
      </c>
      <c r="S119" s="6" t="s">
        <v>164</v>
      </c>
      <c r="T119" s="6" t="s">
        <v>153</v>
      </c>
      <c r="U119" s="6" t="s">
        <v>342</v>
      </c>
      <c r="V119" s="6" t="s">
        <v>80</v>
      </c>
      <c r="W119" s="6" t="s">
        <v>85</v>
      </c>
      <c r="X119" s="6" t="s">
        <v>81</v>
      </c>
      <c r="Y119" s="6" t="s">
        <v>153</v>
      </c>
      <c r="Z119" s="6" t="s">
        <v>380</v>
      </c>
      <c r="AA119" s="6" t="s">
        <v>166</v>
      </c>
      <c r="AB119" s="6" t="s">
        <v>166</v>
      </c>
      <c r="AC119" s="6" t="s">
        <v>79</v>
      </c>
      <c r="AD119" s="6" t="s">
        <v>381</v>
      </c>
    </row>
    <row r="120" spans="1:30" s="6" customFormat="1" ht="14.5">
      <c r="A120" s="6" t="s">
        <v>341</v>
      </c>
      <c r="B120" s="6" t="s">
        <v>153</v>
      </c>
      <c r="C120" s="6" t="s">
        <v>378</v>
      </c>
      <c r="D120" s="6" t="s">
        <v>378</v>
      </c>
      <c r="E120" s="6" t="s">
        <v>383</v>
      </c>
      <c r="F120" s="6" t="s">
        <v>375</v>
      </c>
      <c r="G120" s="6" t="s">
        <v>157</v>
      </c>
      <c r="H120" s="6" t="s">
        <v>158</v>
      </c>
      <c r="I120" s="6" t="s">
        <v>177</v>
      </c>
      <c r="J120" s="6" t="s">
        <v>178</v>
      </c>
      <c r="K120" s="6" t="s">
        <v>179</v>
      </c>
      <c r="L120" s="6" t="s">
        <v>180</v>
      </c>
      <c r="M120" s="6" t="s">
        <v>178</v>
      </c>
      <c r="N120" s="6" t="s">
        <v>78</v>
      </c>
      <c r="O120" s="6" t="s">
        <v>163</v>
      </c>
      <c r="P120" s="67">
        <v>295148</v>
      </c>
      <c r="Q120" s="67">
        <v>3485.29</v>
      </c>
      <c r="R120" s="6">
        <v>84.683999999999997</v>
      </c>
      <c r="S120" s="6" t="s">
        <v>164</v>
      </c>
      <c r="T120" s="6" t="s">
        <v>153</v>
      </c>
      <c r="U120" s="6" t="s">
        <v>342</v>
      </c>
      <c r="V120" s="6" t="s">
        <v>80</v>
      </c>
      <c r="W120" s="6" t="s">
        <v>85</v>
      </c>
      <c r="X120" s="6" t="s">
        <v>81</v>
      </c>
      <c r="Y120" s="6" t="s">
        <v>153</v>
      </c>
      <c r="Z120" s="6" t="s">
        <v>384</v>
      </c>
      <c r="AA120" s="6" t="s">
        <v>166</v>
      </c>
      <c r="AB120" s="6" t="s">
        <v>166</v>
      </c>
      <c r="AC120" s="6" t="s">
        <v>79</v>
      </c>
      <c r="AD120" s="6" t="s">
        <v>385</v>
      </c>
    </row>
    <row r="121" spans="1:30" s="6" customFormat="1" ht="14.5">
      <c r="A121" s="6" t="s">
        <v>341</v>
      </c>
      <c r="B121" s="6" t="s">
        <v>153</v>
      </c>
      <c r="C121" s="6" t="s">
        <v>378</v>
      </c>
      <c r="D121" s="6" t="s">
        <v>378</v>
      </c>
      <c r="E121" s="6" t="s">
        <v>386</v>
      </c>
      <c r="F121" s="6" t="s">
        <v>375</v>
      </c>
      <c r="G121" s="6" t="s">
        <v>157</v>
      </c>
      <c r="H121" s="6" t="s">
        <v>183</v>
      </c>
      <c r="I121" s="6" t="s">
        <v>184</v>
      </c>
      <c r="J121" s="6" t="s">
        <v>185</v>
      </c>
      <c r="K121" s="6" t="s">
        <v>186</v>
      </c>
      <c r="L121" s="6" t="s">
        <v>187</v>
      </c>
      <c r="M121" s="6" t="s">
        <v>185</v>
      </c>
      <c r="N121" s="6" t="s">
        <v>78</v>
      </c>
      <c r="O121" s="6" t="s">
        <v>174</v>
      </c>
      <c r="P121" s="67">
        <v>-295148</v>
      </c>
      <c r="Q121" s="67">
        <v>-3485.29</v>
      </c>
      <c r="R121" s="6">
        <v>84.683999999999997</v>
      </c>
      <c r="S121" s="6" t="s">
        <v>164</v>
      </c>
      <c r="T121" s="6" t="s">
        <v>153</v>
      </c>
      <c r="U121" s="6" t="s">
        <v>342</v>
      </c>
      <c r="V121" s="6" t="s">
        <v>80</v>
      </c>
      <c r="W121" s="6" t="s">
        <v>85</v>
      </c>
      <c r="X121" s="6" t="s">
        <v>81</v>
      </c>
      <c r="Y121" s="6" t="s">
        <v>153</v>
      </c>
      <c r="Z121" s="6" t="s">
        <v>384</v>
      </c>
      <c r="AA121" s="6" t="s">
        <v>166</v>
      </c>
      <c r="AB121" s="6" t="s">
        <v>166</v>
      </c>
      <c r="AC121" s="6" t="s">
        <v>79</v>
      </c>
      <c r="AD121" s="6" t="s">
        <v>385</v>
      </c>
    </row>
    <row r="123" spans="1:30" ht="21">
      <c r="P123" s="68" t="s">
        <v>119</v>
      </c>
      <c r="Q123" s="68" t="s">
        <v>120</v>
      </c>
    </row>
    <row r="124" spans="1:30">
      <c r="P124" s="66">
        <v>259661</v>
      </c>
      <c r="Q124" s="66">
        <v>3066.23</v>
      </c>
    </row>
    <row r="126" spans="1:30">
      <c r="A126" s="11" t="s">
        <v>394</v>
      </c>
      <c r="C126" s="57">
        <v>45632</v>
      </c>
    </row>
    <row r="128" spans="1:30">
      <c r="A128" s="11" t="s">
        <v>395</v>
      </c>
      <c r="C128" s="11">
        <v>85.381399999999999</v>
      </c>
    </row>
    <row r="130" spans="1:7">
      <c r="A130" s="138" t="s">
        <v>252</v>
      </c>
    </row>
    <row r="132" spans="1:7" customFormat="1" ht="14.5">
      <c r="A132" s="49" t="s">
        <v>253</v>
      </c>
      <c r="B132" s="49" t="s">
        <v>254</v>
      </c>
      <c r="C132" s="49" t="s">
        <v>255</v>
      </c>
      <c r="D132" s="49" t="s">
        <v>256</v>
      </c>
      <c r="E132" s="49" t="s">
        <v>257</v>
      </c>
      <c r="F132" s="49" t="s">
        <v>258</v>
      </c>
      <c r="G132" s="49" t="s">
        <v>259</v>
      </c>
    </row>
    <row r="133" spans="1:7" customFormat="1" ht="35.5">
      <c r="A133" s="50" t="s">
        <v>342</v>
      </c>
      <c r="B133" s="51"/>
      <c r="C133" s="3" t="s">
        <v>342</v>
      </c>
      <c r="D133" s="52">
        <v>45632</v>
      </c>
      <c r="E133" s="53" t="s">
        <v>82</v>
      </c>
      <c r="F133" s="53">
        <v>100</v>
      </c>
      <c r="G133" s="53"/>
    </row>
    <row r="154" spans="1:32">
      <c r="A154" s="138" t="s">
        <v>90</v>
      </c>
    </row>
    <row r="156" spans="1:32" s="7" customFormat="1" ht="30" customHeight="1">
      <c r="A156" s="54" t="s">
        <v>91</v>
      </c>
      <c r="B156" s="135" t="s">
        <v>92</v>
      </c>
      <c r="C156" s="135"/>
      <c r="D156" s="54" t="s">
        <v>93</v>
      </c>
      <c r="E156" s="54" t="s">
        <v>94</v>
      </c>
      <c r="F156" s="54" t="s">
        <v>95</v>
      </c>
      <c r="G156" s="54" t="s">
        <v>96</v>
      </c>
      <c r="H156" s="54" t="s">
        <v>97</v>
      </c>
      <c r="I156" s="62" t="s">
        <v>98</v>
      </c>
      <c r="J156" s="62" t="s">
        <v>99</v>
      </c>
      <c r="K156" s="62" t="s">
        <v>100</v>
      </c>
      <c r="L156" s="62" t="s">
        <v>101</v>
      </c>
      <c r="M156" s="62" t="s">
        <v>102</v>
      </c>
      <c r="N156" s="62" t="s">
        <v>103</v>
      </c>
      <c r="O156" s="54" t="s">
        <v>104</v>
      </c>
      <c r="P156" s="62" t="s">
        <v>105</v>
      </c>
      <c r="Q156" s="62" t="s">
        <v>106</v>
      </c>
      <c r="R156" s="54" t="s">
        <v>107</v>
      </c>
      <c r="S156" s="54" t="s">
        <v>108</v>
      </c>
      <c r="T156" s="54" t="s">
        <v>109</v>
      </c>
      <c r="U156" s="54" t="s">
        <v>110</v>
      </c>
      <c r="V156" s="54" t="s">
        <v>111</v>
      </c>
      <c r="W156" s="54" t="s">
        <v>112</v>
      </c>
      <c r="X156" s="62" t="s">
        <v>113</v>
      </c>
      <c r="Y156" s="54" t="s">
        <v>114</v>
      </c>
      <c r="Z156" s="54" t="s">
        <v>115</v>
      </c>
      <c r="AA156" s="54" t="s">
        <v>116</v>
      </c>
      <c r="AB156" s="54" t="s">
        <v>117</v>
      </c>
      <c r="AC156" s="54" t="s">
        <v>118</v>
      </c>
      <c r="AD156" s="54" t="s">
        <v>119</v>
      </c>
      <c r="AE156" s="54" t="s">
        <v>120</v>
      </c>
      <c r="AF156" s="71" t="s">
        <v>121</v>
      </c>
    </row>
    <row r="157" spans="1:32" s="7" customFormat="1" ht="21.5" customHeight="1">
      <c r="B157" s="131" t="s">
        <v>342</v>
      </c>
      <c r="C157" s="131"/>
      <c r="D157" s="51" t="s">
        <v>345</v>
      </c>
      <c r="F157" s="51" t="s">
        <v>78</v>
      </c>
      <c r="H157" s="55">
        <v>45688</v>
      </c>
      <c r="I157" s="63">
        <v>3557</v>
      </c>
      <c r="J157" s="64">
        <v>127</v>
      </c>
      <c r="K157" s="65">
        <v>125</v>
      </c>
      <c r="L157" s="66">
        <v>451739</v>
      </c>
      <c r="M157" s="66">
        <v>5334.41</v>
      </c>
      <c r="N157" s="64">
        <v>100</v>
      </c>
      <c r="O157" s="66">
        <v>355700</v>
      </c>
      <c r="P157" s="66">
        <v>4166.01</v>
      </c>
      <c r="Q157" s="69">
        <v>2.7774582567660199E-2</v>
      </c>
      <c r="R157" s="66">
        <v>0</v>
      </c>
      <c r="S157" s="66">
        <v>0</v>
      </c>
      <c r="T157" s="66">
        <v>0</v>
      </c>
      <c r="U157" s="66">
        <v>0</v>
      </c>
      <c r="V157" s="66">
        <v>5334.41</v>
      </c>
      <c r="W157" s="66">
        <v>0</v>
      </c>
      <c r="X157" s="65">
        <v>85.381399999999999</v>
      </c>
      <c r="Y157" s="66">
        <v>-96039</v>
      </c>
      <c r="Z157" s="66">
        <v>-1168.4000000000001</v>
      </c>
      <c r="AA157" s="66">
        <v>0</v>
      </c>
      <c r="AB157" s="66">
        <v>0</v>
      </c>
      <c r="AC157" s="66">
        <v>-43.58</v>
      </c>
      <c r="AD157" s="66">
        <v>-96039</v>
      </c>
      <c r="AE157" s="66">
        <v>-1124.82</v>
      </c>
      <c r="AF157" s="72">
        <v>45632</v>
      </c>
    </row>
    <row r="158" spans="1:32">
      <c r="I158" s="28"/>
      <c r="O158" s="28">
        <f>I157*N157</f>
        <v>355700</v>
      </c>
      <c r="P158" s="27">
        <f>O157/R162</f>
        <v>4166.0127381373459</v>
      </c>
      <c r="Y158" s="27">
        <f>O157-L157</f>
        <v>-96039</v>
      </c>
      <c r="Z158" s="27">
        <f>P157-M157</f>
        <v>-1168.3999999999996</v>
      </c>
      <c r="AC158" s="27">
        <f>Z157-AE157</f>
        <v>-43.580000000000155</v>
      </c>
      <c r="AD158" s="27">
        <f>O157-L157</f>
        <v>-96039</v>
      </c>
      <c r="AE158" s="27">
        <f>AD157/R162</f>
        <v>-1124.8234392970835</v>
      </c>
    </row>
    <row r="159" spans="1:32">
      <c r="A159" s="138" t="s">
        <v>123</v>
      </c>
    </row>
    <row r="161" spans="1:73" s="6" customFormat="1" ht="14.5">
      <c r="A161" s="56" t="s">
        <v>124</v>
      </c>
      <c r="B161" s="56" t="s">
        <v>125</v>
      </c>
      <c r="C161" s="56" t="s">
        <v>126</v>
      </c>
      <c r="D161" s="56" t="s">
        <v>127</v>
      </c>
      <c r="E161" s="56" t="s">
        <v>128</v>
      </c>
      <c r="F161" s="56" t="s">
        <v>129</v>
      </c>
      <c r="G161" s="56" t="s">
        <v>130</v>
      </c>
      <c r="H161" s="56" t="s">
        <v>131</v>
      </c>
      <c r="I161" s="56" t="s">
        <v>132</v>
      </c>
      <c r="J161" s="56" t="s">
        <v>133</v>
      </c>
      <c r="K161" s="56" t="s">
        <v>134</v>
      </c>
      <c r="L161" s="56" t="s">
        <v>135</v>
      </c>
      <c r="M161" s="56" t="s">
        <v>136</v>
      </c>
      <c r="N161" s="56" t="s">
        <v>137</v>
      </c>
      <c r="O161" s="56" t="s">
        <v>138</v>
      </c>
      <c r="P161" s="56" t="s">
        <v>139</v>
      </c>
      <c r="Q161" s="56" t="s">
        <v>140</v>
      </c>
      <c r="R161" s="56" t="s">
        <v>141</v>
      </c>
      <c r="S161" s="56" t="s">
        <v>142</v>
      </c>
      <c r="T161" s="56" t="s">
        <v>143</v>
      </c>
      <c r="U161" s="56" t="s">
        <v>92</v>
      </c>
      <c r="V161" s="56" t="s">
        <v>144</v>
      </c>
      <c r="W161" s="56" t="s">
        <v>145</v>
      </c>
      <c r="X161" s="56" t="s">
        <v>146</v>
      </c>
      <c r="Y161" s="56" t="s">
        <v>147</v>
      </c>
      <c r="Z161" s="56" t="s">
        <v>148</v>
      </c>
      <c r="AA161" s="56" t="s">
        <v>149</v>
      </c>
      <c r="AB161" s="56" t="s">
        <v>150</v>
      </c>
      <c r="AC161" s="56" t="s">
        <v>151</v>
      </c>
      <c r="AD161" s="56" t="s">
        <v>152</v>
      </c>
    </row>
    <row r="162" spans="1:73" s="6" customFormat="1" ht="14.5">
      <c r="A162" s="6" t="s">
        <v>341</v>
      </c>
      <c r="B162" s="6" t="s">
        <v>153</v>
      </c>
      <c r="C162" s="6" t="s">
        <v>396</v>
      </c>
      <c r="D162" s="6" t="s">
        <v>396</v>
      </c>
      <c r="E162" s="6" t="s">
        <v>397</v>
      </c>
      <c r="F162" s="6" t="s">
        <v>398</v>
      </c>
      <c r="G162" s="6" t="s">
        <v>236</v>
      </c>
      <c r="H162" s="6" t="s">
        <v>237</v>
      </c>
      <c r="I162" s="6" t="s">
        <v>263</v>
      </c>
      <c r="J162" s="6" t="s">
        <v>264</v>
      </c>
      <c r="K162" s="6" t="s">
        <v>265</v>
      </c>
      <c r="L162" s="6" t="s">
        <v>266</v>
      </c>
      <c r="M162" s="6" t="s">
        <v>264</v>
      </c>
      <c r="N162" s="6" t="s">
        <v>78</v>
      </c>
      <c r="O162" s="6" t="s">
        <v>163</v>
      </c>
      <c r="P162" s="67">
        <v>0</v>
      </c>
      <c r="Q162" s="67">
        <v>-43.58</v>
      </c>
      <c r="R162" s="6">
        <v>85.381399999999999</v>
      </c>
      <c r="S162" s="6" t="s">
        <v>164</v>
      </c>
      <c r="T162" s="6" t="s">
        <v>153</v>
      </c>
      <c r="U162" s="6" t="s">
        <v>342</v>
      </c>
      <c r="V162" s="6" t="s">
        <v>80</v>
      </c>
      <c r="W162" s="6" t="s">
        <v>242</v>
      </c>
      <c r="X162" s="6" t="s">
        <v>153</v>
      </c>
      <c r="Y162" s="6" t="s">
        <v>153</v>
      </c>
      <c r="Z162" s="6" t="s">
        <v>399</v>
      </c>
      <c r="AA162" s="6" t="s">
        <v>166</v>
      </c>
      <c r="AB162" s="6" t="s">
        <v>244</v>
      </c>
      <c r="AC162" s="6" t="s">
        <v>79</v>
      </c>
      <c r="AD162" s="6" t="s">
        <v>398</v>
      </c>
    </row>
    <row r="163" spans="1:73" s="6" customFormat="1" ht="14.5">
      <c r="A163" s="6" t="s">
        <v>341</v>
      </c>
      <c r="B163" s="6" t="s">
        <v>153</v>
      </c>
      <c r="C163" s="6" t="s">
        <v>396</v>
      </c>
      <c r="D163" s="6" t="s">
        <v>396</v>
      </c>
      <c r="E163" s="6" t="s">
        <v>400</v>
      </c>
      <c r="F163" s="6" t="s">
        <v>398</v>
      </c>
      <c r="G163" s="6" t="s">
        <v>236</v>
      </c>
      <c r="H163" s="6" t="s">
        <v>183</v>
      </c>
      <c r="I163" s="6" t="s">
        <v>269</v>
      </c>
      <c r="J163" s="6" t="s">
        <v>270</v>
      </c>
      <c r="K163" s="6" t="s">
        <v>271</v>
      </c>
      <c r="L163" s="6" t="s">
        <v>272</v>
      </c>
      <c r="M163" s="6" t="s">
        <v>270</v>
      </c>
      <c r="N163" s="6" t="s">
        <v>78</v>
      </c>
      <c r="O163" s="6" t="s">
        <v>163</v>
      </c>
      <c r="P163" s="67">
        <v>0</v>
      </c>
      <c r="Q163" s="67">
        <v>43.58</v>
      </c>
      <c r="R163" s="6">
        <v>85.381399999999999</v>
      </c>
      <c r="S163" s="6" t="s">
        <v>164</v>
      </c>
      <c r="T163" s="6" t="s">
        <v>153</v>
      </c>
      <c r="U163" s="6" t="s">
        <v>342</v>
      </c>
      <c r="V163" s="6" t="s">
        <v>80</v>
      </c>
      <c r="W163" s="6" t="s">
        <v>242</v>
      </c>
      <c r="X163" s="6" t="s">
        <v>153</v>
      </c>
      <c r="Y163" s="6" t="s">
        <v>153</v>
      </c>
      <c r="Z163" s="6" t="s">
        <v>399</v>
      </c>
      <c r="AA163" s="6" t="s">
        <v>166</v>
      </c>
      <c r="AB163" s="6" t="s">
        <v>244</v>
      </c>
      <c r="AC163" s="6" t="s">
        <v>79</v>
      </c>
      <c r="AD163" s="6" t="s">
        <v>398</v>
      </c>
    </row>
    <row r="164" spans="1:73" s="6" customFormat="1" ht="14.5">
      <c r="A164" s="6" t="s">
        <v>341</v>
      </c>
      <c r="B164" s="6" t="s">
        <v>153</v>
      </c>
      <c r="C164" s="6" t="s">
        <v>396</v>
      </c>
      <c r="D164" s="6" t="s">
        <v>396</v>
      </c>
      <c r="E164" s="6" t="s">
        <v>401</v>
      </c>
      <c r="F164" s="6" t="s">
        <v>398</v>
      </c>
      <c r="G164" s="6" t="s">
        <v>236</v>
      </c>
      <c r="H164" s="6" t="s">
        <v>237</v>
      </c>
      <c r="I164" s="6" t="s">
        <v>238</v>
      </c>
      <c r="J164" s="6" t="s">
        <v>239</v>
      </c>
      <c r="K164" s="6" t="s">
        <v>240</v>
      </c>
      <c r="L164" s="6" t="s">
        <v>241</v>
      </c>
      <c r="M164" s="6" t="s">
        <v>239</v>
      </c>
      <c r="N164" s="6" t="s">
        <v>78</v>
      </c>
      <c r="O164" s="6" t="s">
        <v>174</v>
      </c>
      <c r="P164" s="67">
        <v>-355700</v>
      </c>
      <c r="Q164" s="67">
        <v>-4191.05</v>
      </c>
      <c r="R164" s="6">
        <v>85.381399999999999</v>
      </c>
      <c r="S164" s="6" t="s">
        <v>164</v>
      </c>
      <c r="T164" s="80">
        <f>P164/R164</f>
        <v>-4166.0127381373459</v>
      </c>
      <c r="U164" s="6" t="s">
        <v>342</v>
      </c>
      <c r="V164" s="6" t="s">
        <v>80</v>
      </c>
      <c r="W164" s="6" t="s">
        <v>242</v>
      </c>
      <c r="X164" s="6" t="s">
        <v>153</v>
      </c>
      <c r="Y164" s="6" t="s">
        <v>153</v>
      </c>
      <c r="Z164" s="6" t="s">
        <v>392</v>
      </c>
      <c r="AA164" s="6" t="s">
        <v>166</v>
      </c>
      <c r="AB164" s="6" t="s">
        <v>244</v>
      </c>
      <c r="AC164" s="6" t="s">
        <v>79</v>
      </c>
      <c r="AD164" s="6" t="s">
        <v>398</v>
      </c>
    </row>
    <row r="165" spans="1:73" s="6" customFormat="1" ht="14.5">
      <c r="A165" s="6" t="s">
        <v>341</v>
      </c>
      <c r="B165" s="6" t="s">
        <v>153</v>
      </c>
      <c r="C165" s="6" t="s">
        <v>396</v>
      </c>
      <c r="D165" s="6" t="s">
        <v>396</v>
      </c>
      <c r="E165" s="6" t="s">
        <v>402</v>
      </c>
      <c r="F165" s="6" t="s">
        <v>398</v>
      </c>
      <c r="G165" s="6" t="s">
        <v>236</v>
      </c>
      <c r="H165" s="6" t="s">
        <v>183</v>
      </c>
      <c r="I165" s="6" t="s">
        <v>246</v>
      </c>
      <c r="J165" s="6" t="s">
        <v>247</v>
      </c>
      <c r="K165" s="6" t="s">
        <v>248</v>
      </c>
      <c r="L165" s="6" t="s">
        <v>249</v>
      </c>
      <c r="M165" s="6" t="s">
        <v>247</v>
      </c>
      <c r="N165" s="6" t="s">
        <v>78</v>
      </c>
      <c r="O165" s="6" t="s">
        <v>163</v>
      </c>
      <c r="P165" s="67">
        <v>355700</v>
      </c>
      <c r="Q165" s="67">
        <v>4191.05</v>
      </c>
      <c r="R165" s="6">
        <v>85.381399999999999</v>
      </c>
      <c r="S165" s="6" t="s">
        <v>164</v>
      </c>
      <c r="T165" s="80">
        <f>P165/R165</f>
        <v>4166.0127381373459</v>
      </c>
      <c r="U165" s="6" t="s">
        <v>342</v>
      </c>
      <c r="V165" s="6" t="s">
        <v>80</v>
      </c>
      <c r="W165" s="6" t="s">
        <v>242</v>
      </c>
      <c r="X165" s="6" t="s">
        <v>153</v>
      </c>
      <c r="Y165" s="6" t="s">
        <v>153</v>
      </c>
      <c r="Z165" s="6" t="s">
        <v>392</v>
      </c>
      <c r="AA165" s="6" t="s">
        <v>166</v>
      </c>
      <c r="AB165" s="6" t="s">
        <v>244</v>
      </c>
      <c r="AC165" s="6" t="s">
        <v>79</v>
      </c>
      <c r="AD165" s="6" t="s">
        <v>398</v>
      </c>
    </row>
    <row r="167" spans="1:73" ht="21">
      <c r="Q167" s="54" t="s">
        <v>119</v>
      </c>
      <c r="S167" s="54" t="s">
        <v>118</v>
      </c>
    </row>
    <row r="168" spans="1:73">
      <c r="P168" s="11" t="s">
        <v>403</v>
      </c>
      <c r="Q168" s="66">
        <v>-96039</v>
      </c>
      <c r="S168" s="66">
        <v>-43.58</v>
      </c>
    </row>
    <row r="169" spans="1:73">
      <c r="P169" s="11" t="s">
        <v>404</v>
      </c>
      <c r="Q169" s="66">
        <v>259661</v>
      </c>
    </row>
    <row r="170" spans="1:73">
      <c r="A170" s="138" t="s">
        <v>293</v>
      </c>
      <c r="Q170" s="27">
        <f>Q169-Q168</f>
        <v>355700</v>
      </c>
    </row>
    <row r="172" spans="1:73" s="8" customFormat="1" ht="14.5">
      <c r="A172" s="76" t="s">
        <v>0</v>
      </c>
      <c r="B172" s="76" t="s">
        <v>1</v>
      </c>
      <c r="C172" s="76" t="s">
        <v>2</v>
      </c>
      <c r="D172" s="76" t="s">
        <v>3</v>
      </c>
      <c r="E172" s="77" t="s">
        <v>4</v>
      </c>
      <c r="F172" s="76" t="s">
        <v>5</v>
      </c>
      <c r="G172" s="76" t="s">
        <v>6</v>
      </c>
      <c r="H172" s="76" t="s">
        <v>7</v>
      </c>
      <c r="I172" s="76" t="s">
        <v>8</v>
      </c>
      <c r="J172" s="76" t="s">
        <v>9</v>
      </c>
      <c r="K172" s="76" t="s">
        <v>10</v>
      </c>
      <c r="L172" s="76" t="s">
        <v>11</v>
      </c>
      <c r="M172" s="76" t="s">
        <v>12</v>
      </c>
      <c r="N172" s="76" t="s">
        <v>13</v>
      </c>
      <c r="O172" s="77" t="s">
        <v>14</v>
      </c>
      <c r="P172" s="77" t="s">
        <v>15</v>
      </c>
      <c r="Q172" s="76" t="s">
        <v>16</v>
      </c>
      <c r="R172" s="76" t="s">
        <v>17</v>
      </c>
      <c r="S172" s="77" t="s">
        <v>18</v>
      </c>
      <c r="T172" s="76" t="s">
        <v>19</v>
      </c>
      <c r="U172" s="76" t="s">
        <v>20</v>
      </c>
      <c r="V172" s="76" t="s">
        <v>21</v>
      </c>
      <c r="W172" s="76" t="s">
        <v>22</v>
      </c>
      <c r="X172" s="76" t="s">
        <v>23</v>
      </c>
      <c r="Y172" s="76" t="s">
        <v>24</v>
      </c>
      <c r="Z172" s="76" t="s">
        <v>25</v>
      </c>
      <c r="AA172" s="76" t="s">
        <v>26</v>
      </c>
      <c r="AB172" s="76" t="s">
        <v>27</v>
      </c>
      <c r="AC172" s="77" t="s">
        <v>28</v>
      </c>
      <c r="AD172" s="77" t="s">
        <v>29</v>
      </c>
      <c r="AE172" s="77" t="s">
        <v>30</v>
      </c>
      <c r="AF172" s="77" t="s">
        <v>31</v>
      </c>
      <c r="AG172" s="77" t="s">
        <v>32</v>
      </c>
      <c r="AH172" s="76" t="s">
        <v>33</v>
      </c>
      <c r="AI172" s="76" t="s">
        <v>34</v>
      </c>
      <c r="AJ172" s="76" t="s">
        <v>35</v>
      </c>
      <c r="AK172" s="76" t="s">
        <v>36</v>
      </c>
      <c r="AL172" s="76" t="s">
        <v>37</v>
      </c>
      <c r="AM172" s="85" t="s">
        <v>38</v>
      </c>
      <c r="AN172" s="76" t="s">
        <v>39</v>
      </c>
      <c r="AO172" s="76" t="s">
        <v>40</v>
      </c>
      <c r="AP172" s="76" t="s">
        <v>41</v>
      </c>
      <c r="AQ172" s="76" t="s">
        <v>42</v>
      </c>
      <c r="AR172" s="87" t="s">
        <v>43</v>
      </c>
      <c r="AS172" s="76" t="s">
        <v>44</v>
      </c>
      <c r="AT172" s="87" t="s">
        <v>45</v>
      </c>
      <c r="AU172" s="76" t="s">
        <v>46</v>
      </c>
      <c r="AV172" s="76" t="s">
        <v>47</v>
      </c>
      <c r="AW172" s="76" t="s">
        <v>48</v>
      </c>
      <c r="AX172" s="87" t="s">
        <v>49</v>
      </c>
      <c r="AY172" s="76" t="s">
        <v>50</v>
      </c>
      <c r="AZ172" s="87" t="s">
        <v>51</v>
      </c>
      <c r="BA172" s="76" t="s">
        <v>52</v>
      </c>
      <c r="BB172" s="76" t="s">
        <v>53</v>
      </c>
      <c r="BC172" s="76" t="s">
        <v>54</v>
      </c>
      <c r="BD172" s="76" t="s">
        <v>55</v>
      </c>
      <c r="BE172" s="76" t="s">
        <v>56</v>
      </c>
      <c r="BF172" s="76" t="s">
        <v>57</v>
      </c>
      <c r="BG172" s="76" t="s">
        <v>58</v>
      </c>
      <c r="BH172" s="76" t="s">
        <v>59</v>
      </c>
      <c r="BI172" s="76" t="s">
        <v>60</v>
      </c>
      <c r="BJ172" s="76" t="s">
        <v>61</v>
      </c>
      <c r="BK172" s="76" t="s">
        <v>62</v>
      </c>
      <c r="BL172" s="76" t="s">
        <v>63</v>
      </c>
      <c r="BM172" s="76" t="s">
        <v>64</v>
      </c>
      <c r="BN172" s="76" t="s">
        <v>65</v>
      </c>
      <c r="BO172" s="76" t="s">
        <v>66</v>
      </c>
      <c r="BP172" s="76" t="s">
        <v>67</v>
      </c>
      <c r="BQ172" s="76" t="s">
        <v>68</v>
      </c>
      <c r="BR172" s="76" t="s">
        <v>69</v>
      </c>
      <c r="BS172" s="76" t="s">
        <v>70</v>
      </c>
      <c r="BT172" s="76" t="s">
        <v>71</v>
      </c>
      <c r="BU172" s="76" t="s">
        <v>72</v>
      </c>
    </row>
    <row r="173" spans="1:73" s="9" customFormat="1" ht="15" customHeight="1">
      <c r="A173" s="9" t="s">
        <v>341</v>
      </c>
      <c r="B173" s="9" t="s">
        <v>74</v>
      </c>
      <c r="C173" s="9" t="s">
        <v>75</v>
      </c>
      <c r="D173" s="9">
        <v>30</v>
      </c>
      <c r="E173" s="78" t="s">
        <v>342</v>
      </c>
      <c r="F173" s="9" t="s">
        <v>343</v>
      </c>
      <c r="G173" s="9" t="s">
        <v>78</v>
      </c>
      <c r="H173" s="9" t="s">
        <v>79</v>
      </c>
      <c r="I173" s="9" t="s">
        <v>80</v>
      </c>
      <c r="J173" s="53"/>
      <c r="K173" s="53"/>
      <c r="L173" s="53"/>
      <c r="M173" s="53"/>
      <c r="N173" s="79"/>
      <c r="O173" s="53">
        <v>2500</v>
      </c>
      <c r="P173" s="79">
        <v>125</v>
      </c>
      <c r="Q173" s="9">
        <v>0</v>
      </c>
      <c r="R173" s="81">
        <f>O173*P173</f>
        <v>312500</v>
      </c>
      <c r="S173" s="6">
        <v>85.381399999999999</v>
      </c>
      <c r="T173" s="81">
        <f>R173/S173</f>
        <v>3660.0477387346659</v>
      </c>
      <c r="U173" s="82">
        <v>0</v>
      </c>
      <c r="V173" s="82">
        <v>0</v>
      </c>
      <c r="W173" s="83">
        <f>O173*P173</f>
        <v>312500</v>
      </c>
      <c r="X173" s="81">
        <f>W173/S173</f>
        <v>3660.0477387346659</v>
      </c>
      <c r="Y173" s="9" t="s">
        <v>81</v>
      </c>
      <c r="Z173" s="9" t="s">
        <v>82</v>
      </c>
      <c r="AA173" s="9" t="s">
        <v>83</v>
      </c>
      <c r="AB173" s="9" t="s">
        <v>84</v>
      </c>
      <c r="AC173" s="53" t="s">
        <v>294</v>
      </c>
      <c r="AD173" s="84">
        <v>45632</v>
      </c>
      <c r="AE173" s="84">
        <v>45632</v>
      </c>
      <c r="AF173" s="84">
        <v>45632</v>
      </c>
      <c r="AG173" s="84">
        <v>45688</v>
      </c>
      <c r="AH173" s="9" t="s">
        <v>86</v>
      </c>
      <c r="AI173" s="9" t="s">
        <v>344</v>
      </c>
      <c r="AJ173" s="6">
        <v>85.381399999999999</v>
      </c>
      <c r="AK173" s="86">
        <f>W173/AJ173</f>
        <v>3660.0477387346659</v>
      </c>
      <c r="AM173" s="84">
        <v>45631</v>
      </c>
      <c r="AN173" s="82">
        <v>0</v>
      </c>
      <c r="AO173" s="82">
        <v>0</v>
      </c>
      <c r="AR173" s="88" t="s">
        <v>88</v>
      </c>
      <c r="AS173" s="9" t="s">
        <v>78</v>
      </c>
      <c r="AT173" s="53">
        <v>2500</v>
      </c>
      <c r="AU173" s="53">
        <v>2500</v>
      </c>
      <c r="AV173" s="6">
        <v>85.381399999999999</v>
      </c>
      <c r="AW173" s="82">
        <v>0</v>
      </c>
      <c r="AX173" s="88" t="s">
        <v>89</v>
      </c>
      <c r="AY173" s="9" t="s">
        <v>78</v>
      </c>
      <c r="AZ173" s="53">
        <v>2500</v>
      </c>
      <c r="BA173" s="53">
        <v>2500</v>
      </c>
      <c r="BB173" s="6">
        <v>85.381399999999999</v>
      </c>
      <c r="BC173" s="82">
        <v>0</v>
      </c>
      <c r="BD173" s="89"/>
      <c r="BE173" s="89"/>
      <c r="BF173" s="82">
        <v>0</v>
      </c>
      <c r="BG173" s="82">
        <v>0</v>
      </c>
      <c r="BH173" s="9">
        <v>0</v>
      </c>
      <c r="BI173" s="82">
        <v>0</v>
      </c>
      <c r="BJ173" s="89"/>
      <c r="BK173" s="89"/>
      <c r="BL173" s="82">
        <v>0</v>
      </c>
      <c r="BM173" s="82">
        <v>0</v>
      </c>
      <c r="BN173" s="9">
        <v>0</v>
      </c>
      <c r="BO173" s="82">
        <v>0</v>
      </c>
      <c r="BP173" s="89"/>
      <c r="BQ173" s="89"/>
      <c r="BR173" s="82">
        <v>0</v>
      </c>
      <c r="BS173" s="82">
        <v>0</v>
      </c>
      <c r="BT173" s="9">
        <v>0</v>
      </c>
      <c r="BU173" s="82">
        <v>0</v>
      </c>
    </row>
    <row r="222" spans="1:32">
      <c r="A222" s="138" t="s">
        <v>346</v>
      </c>
    </row>
    <row r="224" spans="1:32" s="6" customFormat="1" ht="25" customHeight="1">
      <c r="A224" s="90" t="s">
        <v>347</v>
      </c>
      <c r="B224" s="90" t="s">
        <v>348</v>
      </c>
      <c r="C224" s="90" t="s">
        <v>349</v>
      </c>
      <c r="D224" s="91" t="s">
        <v>350</v>
      </c>
      <c r="E224" s="91" t="s">
        <v>351</v>
      </c>
      <c r="F224" s="91" t="s">
        <v>352</v>
      </c>
      <c r="G224" s="90" t="s">
        <v>353</v>
      </c>
      <c r="H224" s="90" t="s">
        <v>354</v>
      </c>
      <c r="I224" s="90" t="s">
        <v>355</v>
      </c>
      <c r="J224" s="90" t="s">
        <v>356</v>
      </c>
      <c r="K224" s="90" t="s">
        <v>97</v>
      </c>
      <c r="L224" s="90" t="s">
        <v>357</v>
      </c>
      <c r="M224" s="91" t="s">
        <v>358</v>
      </c>
      <c r="N224" s="91" t="s">
        <v>99</v>
      </c>
      <c r="O224" s="91" t="s">
        <v>359</v>
      </c>
      <c r="P224" s="91" t="s">
        <v>360</v>
      </c>
      <c r="Q224" s="91" t="s">
        <v>361</v>
      </c>
      <c r="R224" s="91" t="s">
        <v>103</v>
      </c>
      <c r="S224" s="91" t="s">
        <v>362</v>
      </c>
      <c r="T224" s="91" t="s">
        <v>363</v>
      </c>
      <c r="U224" s="91" t="s">
        <v>106</v>
      </c>
      <c r="V224" s="91" t="s">
        <v>364</v>
      </c>
      <c r="W224" s="91" t="s">
        <v>365</v>
      </c>
      <c r="X224" s="91" t="s">
        <v>366</v>
      </c>
      <c r="Y224" s="91" t="s">
        <v>367</v>
      </c>
      <c r="Z224" s="91" t="s">
        <v>368</v>
      </c>
      <c r="AA224" s="91" t="s">
        <v>112</v>
      </c>
      <c r="AB224" s="91" t="s">
        <v>369</v>
      </c>
      <c r="AC224" s="91" t="s">
        <v>370</v>
      </c>
      <c r="AD224" s="91" t="s">
        <v>371</v>
      </c>
      <c r="AE224" s="91" t="s">
        <v>372</v>
      </c>
      <c r="AF224" s="91" t="s">
        <v>373</v>
      </c>
    </row>
    <row r="225" spans="1:32" s="6" customFormat="1" ht="20" customHeight="1">
      <c r="A225" s="92" t="s">
        <v>374</v>
      </c>
      <c r="B225" s="92" t="s">
        <v>343</v>
      </c>
      <c r="C225" s="92" t="s">
        <v>345</v>
      </c>
      <c r="D225" s="93" t="s">
        <v>78</v>
      </c>
      <c r="E225" s="93" t="s">
        <v>74</v>
      </c>
      <c r="F225" s="94">
        <v>144195</v>
      </c>
      <c r="G225" s="92" t="s">
        <v>375</v>
      </c>
      <c r="H225" s="95">
        <v>45631</v>
      </c>
      <c r="I225" s="95">
        <v>45631</v>
      </c>
      <c r="J225" s="92" t="s">
        <v>405</v>
      </c>
      <c r="K225" s="95">
        <v>45688</v>
      </c>
      <c r="L225" s="95">
        <v>45688</v>
      </c>
      <c r="M225" s="97">
        <v>2324</v>
      </c>
      <c r="N225" s="98">
        <v>0</v>
      </c>
      <c r="O225" s="99">
        <v>0</v>
      </c>
      <c r="P225" s="99">
        <v>0</v>
      </c>
      <c r="Q225" s="99">
        <v>0</v>
      </c>
      <c r="R225" s="98">
        <v>100</v>
      </c>
      <c r="S225" s="99">
        <v>0</v>
      </c>
      <c r="T225" s="99">
        <v>0</v>
      </c>
      <c r="U225" s="102">
        <v>0</v>
      </c>
      <c r="V225" s="99">
        <v>0</v>
      </c>
      <c r="W225" s="99">
        <v>0</v>
      </c>
      <c r="X225" s="99">
        <v>0</v>
      </c>
      <c r="Y225" s="99">
        <v>0</v>
      </c>
      <c r="Z225" s="99">
        <v>0</v>
      </c>
      <c r="AA225" s="99">
        <v>0</v>
      </c>
      <c r="AB225" s="99">
        <v>0</v>
      </c>
      <c r="AC225" s="99">
        <v>0</v>
      </c>
      <c r="AD225" s="99">
        <v>0</v>
      </c>
      <c r="AE225" s="99">
        <v>0</v>
      </c>
      <c r="AF225" s="99">
        <v>85.381399999999999</v>
      </c>
    </row>
    <row r="226" spans="1:32" s="6" customFormat="1" ht="20" customHeight="1">
      <c r="A226" s="92" t="s">
        <v>374</v>
      </c>
      <c r="B226" s="92" t="s">
        <v>343</v>
      </c>
      <c r="C226" s="92" t="s">
        <v>345</v>
      </c>
      <c r="D226" s="93" t="s">
        <v>78</v>
      </c>
      <c r="E226" s="93" t="s">
        <v>74</v>
      </c>
      <c r="F226" s="94">
        <v>144196</v>
      </c>
      <c r="G226" s="92" t="s">
        <v>377</v>
      </c>
      <c r="H226" s="95">
        <v>45631</v>
      </c>
      <c r="I226" s="95">
        <v>45632</v>
      </c>
      <c r="J226" s="92" t="s">
        <v>405</v>
      </c>
      <c r="K226" s="95">
        <v>45688</v>
      </c>
      <c r="L226" s="95">
        <v>45688</v>
      </c>
      <c r="M226" s="97">
        <v>1233</v>
      </c>
      <c r="N226" s="98">
        <v>108.871857258719</v>
      </c>
      <c r="O226" s="99">
        <v>134239</v>
      </c>
      <c r="P226" s="99">
        <v>1585.17</v>
      </c>
      <c r="Q226" s="99">
        <v>1572.22767488001</v>
      </c>
      <c r="R226" s="98">
        <v>100</v>
      </c>
      <c r="S226" s="99">
        <v>105700</v>
      </c>
      <c r="T226" s="99">
        <v>1237.97</v>
      </c>
      <c r="U226" s="102">
        <v>8.2548032745325701E-3</v>
      </c>
      <c r="V226" s="99">
        <v>0</v>
      </c>
      <c r="W226" s="99">
        <v>0</v>
      </c>
      <c r="X226" s="99">
        <v>0</v>
      </c>
      <c r="Y226" s="99">
        <v>0</v>
      </c>
      <c r="Z226" s="99">
        <v>134239</v>
      </c>
      <c r="AA226" s="99">
        <v>0</v>
      </c>
      <c r="AB226" s="99">
        <v>-28539</v>
      </c>
      <c r="AC226" s="99">
        <v>-347.2</v>
      </c>
      <c r="AD226" s="99">
        <v>-12.94</v>
      </c>
      <c r="AE226" s="99">
        <v>-334.25312773039599</v>
      </c>
      <c r="AF226" s="99">
        <v>85.381399999999999</v>
      </c>
    </row>
    <row r="227" spans="1:32" s="6" customFormat="1" ht="20" customHeight="1">
      <c r="A227" s="92"/>
      <c r="B227" s="92"/>
      <c r="C227" s="92"/>
      <c r="D227" s="93"/>
      <c r="E227" s="93"/>
      <c r="F227" s="94"/>
      <c r="G227" s="92"/>
      <c r="H227" s="95"/>
      <c r="I227" s="95"/>
      <c r="J227" s="92"/>
      <c r="K227" s="95"/>
      <c r="L227" s="95"/>
      <c r="M227" s="97"/>
      <c r="N227" s="98"/>
      <c r="O227" s="99"/>
      <c r="P227" s="99"/>
      <c r="Q227" s="99"/>
      <c r="R227" s="98"/>
      <c r="S227" s="99"/>
      <c r="T227" s="99"/>
      <c r="U227" s="102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</row>
    <row r="229" spans="1:32">
      <c r="A229" s="138" t="s">
        <v>90</v>
      </c>
      <c r="I229" s="100">
        <v>3557</v>
      </c>
    </row>
    <row r="230" spans="1:32">
      <c r="I230" s="11">
        <v>2500</v>
      </c>
    </row>
    <row r="231" spans="1:32" s="7" customFormat="1" ht="30" customHeight="1">
      <c r="A231" s="68" t="s">
        <v>91</v>
      </c>
      <c r="B231" s="136" t="s">
        <v>92</v>
      </c>
      <c r="C231" s="136"/>
      <c r="D231" s="68" t="s">
        <v>93</v>
      </c>
      <c r="E231" s="68" t="s">
        <v>94</v>
      </c>
      <c r="F231" s="68" t="s">
        <v>95</v>
      </c>
      <c r="G231" s="68" t="s">
        <v>96</v>
      </c>
      <c r="H231" s="68" t="s">
        <v>97</v>
      </c>
      <c r="I231" s="101" t="s">
        <v>98</v>
      </c>
      <c r="J231" s="101" t="s">
        <v>99</v>
      </c>
      <c r="K231" s="101" t="s">
        <v>100</v>
      </c>
      <c r="L231" s="101" t="s">
        <v>101</v>
      </c>
      <c r="M231" s="101" t="s">
        <v>102</v>
      </c>
      <c r="N231" s="101" t="s">
        <v>103</v>
      </c>
      <c r="O231" s="68" t="s">
        <v>104</v>
      </c>
      <c r="P231" s="101" t="s">
        <v>105</v>
      </c>
      <c r="Q231" s="101" t="s">
        <v>106</v>
      </c>
      <c r="R231" s="68" t="s">
        <v>107</v>
      </c>
      <c r="S231" s="68" t="s">
        <v>108</v>
      </c>
      <c r="T231" s="68" t="s">
        <v>109</v>
      </c>
      <c r="U231" s="68" t="s">
        <v>110</v>
      </c>
      <c r="V231" s="68" t="s">
        <v>111</v>
      </c>
      <c r="W231" s="68" t="s">
        <v>112</v>
      </c>
      <c r="X231" s="101" t="s">
        <v>113</v>
      </c>
      <c r="Y231" s="68" t="s">
        <v>114</v>
      </c>
      <c r="Z231" s="68" t="s">
        <v>115</v>
      </c>
      <c r="AA231" s="68" t="s">
        <v>116</v>
      </c>
      <c r="AB231" s="68" t="s">
        <v>117</v>
      </c>
      <c r="AC231" s="68" t="s">
        <v>118</v>
      </c>
      <c r="AD231" s="68" t="s">
        <v>119</v>
      </c>
      <c r="AE231" s="68" t="s">
        <v>120</v>
      </c>
      <c r="AF231" s="104" t="s">
        <v>121</v>
      </c>
    </row>
    <row r="232" spans="1:32" s="7" customFormat="1" ht="21.5" customHeight="1">
      <c r="B232" s="131" t="s">
        <v>342</v>
      </c>
      <c r="C232" s="131"/>
      <c r="D232" s="51" t="s">
        <v>345</v>
      </c>
      <c r="F232" s="51" t="s">
        <v>78</v>
      </c>
      <c r="H232" s="55">
        <v>45688</v>
      </c>
      <c r="I232" s="63">
        <v>1057</v>
      </c>
      <c r="J232" s="64">
        <v>127</v>
      </c>
      <c r="K232" s="65">
        <v>125</v>
      </c>
      <c r="L232" s="66">
        <v>134239</v>
      </c>
      <c r="M232" s="66">
        <v>1585.17</v>
      </c>
      <c r="N232" s="64">
        <v>100</v>
      </c>
      <c r="O232" s="66">
        <v>105700</v>
      </c>
      <c r="P232" s="66">
        <v>1237.97</v>
      </c>
      <c r="Q232" s="69">
        <v>8.2548032745325701E-3</v>
      </c>
      <c r="R232" s="66">
        <v>0</v>
      </c>
      <c r="S232" s="66">
        <v>0</v>
      </c>
      <c r="T232" s="66">
        <v>0</v>
      </c>
      <c r="U232" s="66">
        <v>0</v>
      </c>
      <c r="V232" s="66">
        <v>1585.17</v>
      </c>
      <c r="W232" s="66">
        <v>0</v>
      </c>
      <c r="X232" s="65">
        <v>85.381399999999999</v>
      </c>
      <c r="Y232" s="66">
        <v>-28539</v>
      </c>
      <c r="Z232" s="66">
        <v>-347.2</v>
      </c>
      <c r="AA232" s="66">
        <v>0</v>
      </c>
      <c r="AB232" s="66">
        <v>0</v>
      </c>
      <c r="AC232" s="66">
        <v>-12.94</v>
      </c>
      <c r="AD232" s="66">
        <v>-28539</v>
      </c>
      <c r="AE232" s="66">
        <v>-334.25</v>
      </c>
      <c r="AF232" s="72">
        <v>45632</v>
      </c>
    </row>
    <row r="233" spans="1:32">
      <c r="I233" s="28">
        <f>I229-I230</f>
        <v>1057</v>
      </c>
      <c r="L233" s="28">
        <f>I232*J232</f>
        <v>134239</v>
      </c>
      <c r="M233" s="27">
        <f>L232/R119</f>
        <v>1585.1754758868265</v>
      </c>
      <c r="O233" s="28">
        <f>I232*N232</f>
        <v>105700</v>
      </c>
      <c r="P233" s="27">
        <f>O232/R239</f>
        <v>1237.9745471496135</v>
      </c>
      <c r="Y233" s="27">
        <f>O232-L232</f>
        <v>-28539</v>
      </c>
      <c r="Z233" s="27">
        <f>P232-M232</f>
        <v>-347.20000000000005</v>
      </c>
      <c r="AC233" s="27">
        <f>Z232-AE232</f>
        <v>-12.949999999999989</v>
      </c>
      <c r="AD233" s="27">
        <f>O232-L232</f>
        <v>-28539</v>
      </c>
      <c r="AE233" s="27">
        <f>AD232/R239</f>
        <v>-334.25312773039559</v>
      </c>
    </row>
    <row r="236" spans="1:32">
      <c r="A236" s="138" t="s">
        <v>123</v>
      </c>
    </row>
    <row r="238" spans="1:32" s="6" customFormat="1" ht="14.5">
      <c r="A238" s="96" t="s">
        <v>124</v>
      </c>
      <c r="B238" s="96" t="s">
        <v>125</v>
      </c>
      <c r="C238" s="96" t="s">
        <v>126</v>
      </c>
      <c r="D238" s="96" t="s">
        <v>127</v>
      </c>
      <c r="E238" s="96" t="s">
        <v>128</v>
      </c>
      <c r="F238" s="96" t="s">
        <v>129</v>
      </c>
      <c r="G238" s="96" t="s">
        <v>130</v>
      </c>
      <c r="H238" s="96" t="s">
        <v>131</v>
      </c>
      <c r="I238" s="96" t="s">
        <v>132</v>
      </c>
      <c r="J238" s="96" t="s">
        <v>133</v>
      </c>
      <c r="K238" s="96" t="s">
        <v>134</v>
      </c>
      <c r="L238" s="96" t="s">
        <v>135</v>
      </c>
      <c r="M238" s="96" t="s">
        <v>136</v>
      </c>
      <c r="N238" s="96" t="s">
        <v>137</v>
      </c>
      <c r="O238" s="96" t="s">
        <v>138</v>
      </c>
      <c r="P238" s="96" t="s">
        <v>139</v>
      </c>
      <c r="Q238" s="96" t="s">
        <v>140</v>
      </c>
      <c r="R238" s="96" t="s">
        <v>141</v>
      </c>
      <c r="S238" s="96" t="s">
        <v>142</v>
      </c>
      <c r="T238" s="96" t="s">
        <v>143</v>
      </c>
      <c r="U238" s="96" t="s">
        <v>92</v>
      </c>
      <c r="V238" s="96" t="s">
        <v>144</v>
      </c>
      <c r="W238" s="96" t="s">
        <v>145</v>
      </c>
      <c r="X238" s="96" t="s">
        <v>146</v>
      </c>
      <c r="Y238" s="96" t="s">
        <v>147</v>
      </c>
      <c r="Z238" s="96" t="s">
        <v>148</v>
      </c>
      <c r="AA238" s="96" t="s">
        <v>149</v>
      </c>
      <c r="AB238" s="96" t="s">
        <v>150</v>
      </c>
      <c r="AC238" s="96" t="s">
        <v>151</v>
      </c>
      <c r="AD238" s="96" t="s">
        <v>152</v>
      </c>
    </row>
    <row r="239" spans="1:32" s="6" customFormat="1" ht="14.5">
      <c r="A239" s="6" t="s">
        <v>341</v>
      </c>
      <c r="B239" s="6" t="s">
        <v>153</v>
      </c>
      <c r="C239" s="6" t="s">
        <v>396</v>
      </c>
      <c r="D239" s="6" t="s">
        <v>396</v>
      </c>
      <c r="E239" s="6" t="s">
        <v>406</v>
      </c>
      <c r="F239" s="6" t="s">
        <v>407</v>
      </c>
      <c r="G239" s="6" t="s">
        <v>157</v>
      </c>
      <c r="H239" s="6" t="s">
        <v>237</v>
      </c>
      <c r="I239" s="6" t="s">
        <v>263</v>
      </c>
      <c r="J239" s="6" t="s">
        <v>264</v>
      </c>
      <c r="K239" s="6" t="s">
        <v>265</v>
      </c>
      <c r="L239" s="6" t="s">
        <v>266</v>
      </c>
      <c r="M239" s="6" t="s">
        <v>264</v>
      </c>
      <c r="N239" s="6" t="s">
        <v>78</v>
      </c>
      <c r="O239" s="6" t="s">
        <v>163</v>
      </c>
      <c r="P239" s="67">
        <v>0</v>
      </c>
      <c r="Q239" s="67">
        <v>30.64</v>
      </c>
      <c r="R239" s="6">
        <v>85.381399999999999</v>
      </c>
      <c r="S239" s="6" t="s">
        <v>164</v>
      </c>
      <c r="T239" s="6" t="s">
        <v>153</v>
      </c>
      <c r="U239" s="6" t="s">
        <v>342</v>
      </c>
      <c r="V239" s="6" t="s">
        <v>80</v>
      </c>
      <c r="W239" s="6" t="s">
        <v>294</v>
      </c>
      <c r="X239" s="6" t="s">
        <v>81</v>
      </c>
      <c r="Y239" s="6" t="s">
        <v>153</v>
      </c>
      <c r="Z239" s="6" t="s">
        <v>408</v>
      </c>
      <c r="AA239" s="6" t="s">
        <v>166</v>
      </c>
      <c r="AB239" s="6" t="s">
        <v>166</v>
      </c>
      <c r="AC239" s="6" t="s">
        <v>79</v>
      </c>
      <c r="AD239" s="6" t="s">
        <v>409</v>
      </c>
    </row>
    <row r="240" spans="1:32" s="6" customFormat="1" ht="14.5">
      <c r="A240" s="6" t="s">
        <v>341</v>
      </c>
      <c r="B240" s="6" t="s">
        <v>153</v>
      </c>
      <c r="C240" s="6" t="s">
        <v>396</v>
      </c>
      <c r="D240" s="6" t="s">
        <v>396</v>
      </c>
      <c r="E240" s="6" t="s">
        <v>410</v>
      </c>
      <c r="F240" s="6" t="s">
        <v>407</v>
      </c>
      <c r="G240" s="6" t="s">
        <v>157</v>
      </c>
      <c r="H240" s="6" t="s">
        <v>183</v>
      </c>
      <c r="I240" s="6" t="s">
        <v>269</v>
      </c>
      <c r="J240" s="6" t="s">
        <v>270</v>
      </c>
      <c r="K240" s="6" t="s">
        <v>271</v>
      </c>
      <c r="L240" s="6" t="s">
        <v>272</v>
      </c>
      <c r="M240" s="6" t="s">
        <v>270</v>
      </c>
      <c r="N240" s="6" t="s">
        <v>78</v>
      </c>
      <c r="O240" s="6" t="s">
        <v>163</v>
      </c>
      <c r="P240" s="67">
        <v>0</v>
      </c>
      <c r="Q240" s="67">
        <v>-30.64</v>
      </c>
      <c r="R240" s="6">
        <v>85.381399999999999</v>
      </c>
      <c r="S240" s="6" t="s">
        <v>164</v>
      </c>
      <c r="T240" s="6" t="s">
        <v>153</v>
      </c>
      <c r="U240" s="6" t="s">
        <v>342</v>
      </c>
      <c r="V240" s="6" t="s">
        <v>80</v>
      </c>
      <c r="W240" s="6" t="s">
        <v>294</v>
      </c>
      <c r="X240" s="6" t="s">
        <v>81</v>
      </c>
      <c r="Y240" s="6" t="s">
        <v>153</v>
      </c>
      <c r="Z240" s="6" t="s">
        <v>408</v>
      </c>
      <c r="AA240" s="6" t="s">
        <v>166</v>
      </c>
      <c r="AB240" s="6" t="s">
        <v>166</v>
      </c>
      <c r="AC240" s="6" t="s">
        <v>79</v>
      </c>
      <c r="AD240" s="6" t="s">
        <v>409</v>
      </c>
    </row>
    <row r="241" spans="1:45" s="6" customFormat="1" ht="14.5">
      <c r="A241" s="6" t="s">
        <v>341</v>
      </c>
      <c r="B241" s="6" t="s">
        <v>153</v>
      </c>
      <c r="C241" s="6" t="s">
        <v>396</v>
      </c>
      <c r="D241" s="6" t="s">
        <v>396</v>
      </c>
      <c r="E241" s="6" t="s">
        <v>411</v>
      </c>
      <c r="F241" s="6" t="s">
        <v>407</v>
      </c>
      <c r="G241" s="6" t="s">
        <v>157</v>
      </c>
      <c r="H241" s="6" t="s">
        <v>237</v>
      </c>
      <c r="I241" s="6" t="s">
        <v>301</v>
      </c>
      <c r="J241" s="6" t="s">
        <v>412</v>
      </c>
      <c r="K241" s="6" t="s">
        <v>303</v>
      </c>
      <c r="L241" s="6" t="s">
        <v>304</v>
      </c>
      <c r="M241" s="6" t="s">
        <v>412</v>
      </c>
      <c r="N241" s="6" t="s">
        <v>78</v>
      </c>
      <c r="O241" s="6" t="s">
        <v>163</v>
      </c>
      <c r="P241" s="67">
        <v>0</v>
      </c>
      <c r="Q241" s="67">
        <v>-30.63</v>
      </c>
      <c r="R241" s="6">
        <v>85.381399999999999</v>
      </c>
      <c r="S241" s="6" t="s">
        <v>164</v>
      </c>
      <c r="T241" s="6" t="s">
        <v>153</v>
      </c>
      <c r="U241" s="6" t="s">
        <v>342</v>
      </c>
      <c r="V241" s="6" t="s">
        <v>80</v>
      </c>
      <c r="W241" s="6" t="s">
        <v>294</v>
      </c>
      <c r="X241" s="6" t="s">
        <v>81</v>
      </c>
      <c r="Y241" s="6" t="s">
        <v>153</v>
      </c>
      <c r="Z241" s="6" t="s">
        <v>413</v>
      </c>
      <c r="AA241" s="6" t="s">
        <v>166</v>
      </c>
      <c r="AB241" s="6" t="s">
        <v>166</v>
      </c>
      <c r="AC241" s="6" t="s">
        <v>79</v>
      </c>
      <c r="AD241" s="6" t="s">
        <v>409</v>
      </c>
    </row>
    <row r="242" spans="1:45" s="6" customFormat="1" ht="14.5">
      <c r="A242" s="6" t="s">
        <v>341</v>
      </c>
      <c r="B242" s="6" t="s">
        <v>153</v>
      </c>
      <c r="C242" s="6" t="s">
        <v>396</v>
      </c>
      <c r="D242" s="6" t="s">
        <v>396</v>
      </c>
      <c r="E242" s="6" t="s">
        <v>414</v>
      </c>
      <c r="F242" s="6" t="s">
        <v>407</v>
      </c>
      <c r="G242" s="6" t="s">
        <v>157</v>
      </c>
      <c r="H242" s="6" t="s">
        <v>183</v>
      </c>
      <c r="I242" s="6" t="s">
        <v>307</v>
      </c>
      <c r="J242" s="6" t="s">
        <v>308</v>
      </c>
      <c r="K242" s="6" t="s">
        <v>309</v>
      </c>
      <c r="L242" s="6" t="s">
        <v>310</v>
      </c>
      <c r="M242" s="6" t="s">
        <v>308</v>
      </c>
      <c r="N242" s="6" t="s">
        <v>78</v>
      </c>
      <c r="O242" s="6" t="s">
        <v>163</v>
      </c>
      <c r="P242" s="67">
        <v>10000</v>
      </c>
      <c r="Q242" s="67">
        <v>117.12</v>
      </c>
      <c r="R242" s="6">
        <v>85.381399999999999</v>
      </c>
      <c r="S242" s="6" t="s">
        <v>164</v>
      </c>
      <c r="T242" s="6" t="s">
        <v>153</v>
      </c>
      <c r="U242" s="6" t="s">
        <v>342</v>
      </c>
      <c r="V242" s="6" t="s">
        <v>80</v>
      </c>
      <c r="W242" s="6" t="s">
        <v>294</v>
      </c>
      <c r="X242" s="6" t="s">
        <v>81</v>
      </c>
      <c r="Y242" s="6" t="s">
        <v>153</v>
      </c>
      <c r="Z242" s="6" t="s">
        <v>415</v>
      </c>
      <c r="AA242" s="6" t="s">
        <v>166</v>
      </c>
      <c r="AB242" s="6" t="s">
        <v>166</v>
      </c>
      <c r="AC242" s="6" t="s">
        <v>79</v>
      </c>
      <c r="AD242" s="6" t="s">
        <v>409</v>
      </c>
    </row>
    <row r="243" spans="1:45" s="6" customFormat="1" ht="14.5">
      <c r="A243" s="6" t="s">
        <v>341</v>
      </c>
      <c r="B243" s="6" t="s">
        <v>153</v>
      </c>
      <c r="C243" s="6" t="s">
        <v>396</v>
      </c>
      <c r="D243" s="6" t="s">
        <v>396</v>
      </c>
      <c r="E243" s="6" t="s">
        <v>416</v>
      </c>
      <c r="F243" s="6" t="s">
        <v>407</v>
      </c>
      <c r="G243" s="6" t="s">
        <v>157</v>
      </c>
      <c r="H243" s="6" t="s">
        <v>237</v>
      </c>
      <c r="I243" s="6" t="s">
        <v>313</v>
      </c>
      <c r="J243" s="6" t="s">
        <v>314</v>
      </c>
      <c r="K243" s="6" t="s">
        <v>315</v>
      </c>
      <c r="L243" s="6" t="s">
        <v>316</v>
      </c>
      <c r="M243" s="6" t="s">
        <v>314</v>
      </c>
      <c r="N243" s="6" t="s">
        <v>78</v>
      </c>
      <c r="O243" s="6" t="s">
        <v>174</v>
      </c>
      <c r="P243" s="67">
        <v>-10000</v>
      </c>
      <c r="Q243" s="67">
        <v>-117.12</v>
      </c>
      <c r="R243" s="6">
        <v>85.381399999999999</v>
      </c>
      <c r="S243" s="6" t="s">
        <v>164</v>
      </c>
      <c r="T243" s="6" t="s">
        <v>153</v>
      </c>
      <c r="U243" s="6" t="s">
        <v>342</v>
      </c>
      <c r="V243" s="6" t="s">
        <v>80</v>
      </c>
      <c r="W243" s="6" t="s">
        <v>294</v>
      </c>
      <c r="X243" s="6" t="s">
        <v>81</v>
      </c>
      <c r="Y243" s="6" t="s">
        <v>153</v>
      </c>
      <c r="Z243" s="6" t="s">
        <v>415</v>
      </c>
      <c r="AA243" s="6" t="s">
        <v>166</v>
      </c>
      <c r="AB243" s="6" t="s">
        <v>166</v>
      </c>
      <c r="AC243" s="6" t="s">
        <v>79</v>
      </c>
      <c r="AD243" s="6" t="s">
        <v>409</v>
      </c>
    </row>
    <row r="244" spans="1:45" s="6" customFormat="1" ht="14.5">
      <c r="A244" s="6" t="s">
        <v>341</v>
      </c>
      <c r="B244" s="6" t="s">
        <v>153</v>
      </c>
      <c r="C244" s="6" t="s">
        <v>396</v>
      </c>
      <c r="D244" s="6" t="s">
        <v>396</v>
      </c>
      <c r="E244" s="6" t="s">
        <v>417</v>
      </c>
      <c r="F244" s="6" t="s">
        <v>407</v>
      </c>
      <c r="G244" s="6" t="s">
        <v>157</v>
      </c>
      <c r="H244" s="6" t="s">
        <v>237</v>
      </c>
      <c r="I244" s="6" t="s">
        <v>238</v>
      </c>
      <c r="J244" s="6" t="s">
        <v>239</v>
      </c>
      <c r="K244" s="6" t="s">
        <v>240</v>
      </c>
      <c r="L244" s="6" t="s">
        <v>241</v>
      </c>
      <c r="M244" s="6" t="s">
        <v>239</v>
      </c>
      <c r="N244" s="6" t="s">
        <v>78</v>
      </c>
      <c r="O244" s="6" t="s">
        <v>163</v>
      </c>
      <c r="P244" s="67">
        <v>67500</v>
      </c>
      <c r="Q244" s="67">
        <v>790.57</v>
      </c>
      <c r="R244" s="6">
        <v>85.381399999999999</v>
      </c>
      <c r="S244" s="6" t="s">
        <v>164</v>
      </c>
      <c r="T244" s="6" t="s">
        <v>153</v>
      </c>
      <c r="U244" s="6" t="s">
        <v>342</v>
      </c>
      <c r="V244" s="6" t="s">
        <v>80</v>
      </c>
      <c r="W244" s="6" t="s">
        <v>294</v>
      </c>
      <c r="X244" s="6" t="s">
        <v>81</v>
      </c>
      <c r="Y244" s="6" t="s">
        <v>153</v>
      </c>
      <c r="Z244" s="6" t="s">
        <v>415</v>
      </c>
      <c r="AA244" s="6" t="s">
        <v>166</v>
      </c>
      <c r="AB244" s="6" t="s">
        <v>166</v>
      </c>
      <c r="AC244" s="6" t="s">
        <v>79</v>
      </c>
      <c r="AD244" s="6" t="s">
        <v>409</v>
      </c>
    </row>
    <row r="245" spans="1:45" s="6" customFormat="1" ht="14.5">
      <c r="A245" s="6" t="s">
        <v>341</v>
      </c>
      <c r="B245" s="6" t="s">
        <v>153</v>
      </c>
      <c r="C245" s="6" t="s">
        <v>396</v>
      </c>
      <c r="D245" s="6" t="s">
        <v>396</v>
      </c>
      <c r="E245" s="6" t="s">
        <v>418</v>
      </c>
      <c r="F245" s="6" t="s">
        <v>407</v>
      </c>
      <c r="G245" s="6" t="s">
        <v>157</v>
      </c>
      <c r="H245" s="6" t="s">
        <v>183</v>
      </c>
      <c r="I245" s="6" t="s">
        <v>246</v>
      </c>
      <c r="J245" s="6" t="s">
        <v>247</v>
      </c>
      <c r="K245" s="6" t="s">
        <v>248</v>
      </c>
      <c r="L245" s="6" t="s">
        <v>249</v>
      </c>
      <c r="M245" s="6" t="s">
        <v>247</v>
      </c>
      <c r="N245" s="6" t="s">
        <v>78</v>
      </c>
      <c r="O245" s="6" t="s">
        <v>174</v>
      </c>
      <c r="P245" s="67">
        <v>-67500</v>
      </c>
      <c r="Q245" s="67">
        <v>-790.57</v>
      </c>
      <c r="R245" s="6">
        <v>85.381399999999999</v>
      </c>
      <c r="S245" s="6" t="s">
        <v>164</v>
      </c>
      <c r="T245" s="6" t="s">
        <v>153</v>
      </c>
      <c r="U245" s="6" t="s">
        <v>342</v>
      </c>
      <c r="V245" s="6" t="s">
        <v>80</v>
      </c>
      <c r="W245" s="6" t="s">
        <v>294</v>
      </c>
      <c r="X245" s="6" t="s">
        <v>81</v>
      </c>
      <c r="Y245" s="6" t="s">
        <v>153</v>
      </c>
      <c r="Z245" s="6" t="s">
        <v>419</v>
      </c>
      <c r="AA245" s="6" t="s">
        <v>166</v>
      </c>
      <c r="AB245" s="6" t="s">
        <v>166</v>
      </c>
      <c r="AC245" s="6" t="s">
        <v>79</v>
      </c>
      <c r="AD245" s="6" t="s">
        <v>409</v>
      </c>
    </row>
    <row r="246" spans="1:45" s="6" customFormat="1" ht="14.5">
      <c r="A246" s="6" t="s">
        <v>341</v>
      </c>
      <c r="B246" s="6" t="s">
        <v>153</v>
      </c>
      <c r="C246" s="6" t="s">
        <v>396</v>
      </c>
      <c r="D246" s="6" t="s">
        <v>396</v>
      </c>
      <c r="E246" s="6" t="s">
        <v>420</v>
      </c>
      <c r="F246" s="6" t="s">
        <v>407</v>
      </c>
      <c r="G246" s="6" t="s">
        <v>157</v>
      </c>
      <c r="H246" s="6" t="s">
        <v>158</v>
      </c>
      <c r="I246" s="6" t="s">
        <v>177</v>
      </c>
      <c r="J246" s="6" t="s">
        <v>178</v>
      </c>
      <c r="K246" s="6" t="s">
        <v>179</v>
      </c>
      <c r="L246" s="6" t="s">
        <v>180</v>
      </c>
      <c r="M246" s="6" t="s">
        <v>178</v>
      </c>
      <c r="N246" s="6" t="s">
        <v>78</v>
      </c>
      <c r="O246" s="6" t="s">
        <v>174</v>
      </c>
      <c r="P246" s="67">
        <v>-317500</v>
      </c>
      <c r="Q246" s="67">
        <v>-3718.61</v>
      </c>
      <c r="R246" s="6">
        <v>85.381399999999999</v>
      </c>
      <c r="S246" s="6" t="s">
        <v>164</v>
      </c>
      <c r="T246" s="6" t="s">
        <v>153</v>
      </c>
      <c r="U246" s="6" t="s">
        <v>342</v>
      </c>
      <c r="V246" s="6" t="s">
        <v>80</v>
      </c>
      <c r="W246" s="6" t="s">
        <v>294</v>
      </c>
      <c r="X246" s="6" t="s">
        <v>81</v>
      </c>
      <c r="Y246" s="6" t="s">
        <v>153</v>
      </c>
      <c r="Z246" s="6" t="s">
        <v>421</v>
      </c>
      <c r="AA246" s="6" t="s">
        <v>166</v>
      </c>
      <c r="AB246" s="6" t="s">
        <v>166</v>
      </c>
      <c r="AC246" s="6" t="s">
        <v>79</v>
      </c>
      <c r="AD246" s="6" t="s">
        <v>409</v>
      </c>
    </row>
    <row r="247" spans="1:45" s="6" customFormat="1" ht="14.5">
      <c r="A247" s="6" t="s">
        <v>341</v>
      </c>
      <c r="B247" s="6" t="s">
        <v>153</v>
      </c>
      <c r="C247" s="6" t="s">
        <v>396</v>
      </c>
      <c r="D247" s="6" t="s">
        <v>396</v>
      </c>
      <c r="E247" s="6" t="s">
        <v>422</v>
      </c>
      <c r="F247" s="6" t="s">
        <v>407</v>
      </c>
      <c r="G247" s="6" t="s">
        <v>157</v>
      </c>
      <c r="H247" s="6" t="s">
        <v>183</v>
      </c>
      <c r="I247" s="6" t="s">
        <v>184</v>
      </c>
      <c r="J247" s="6" t="s">
        <v>185</v>
      </c>
      <c r="K247" s="6" t="s">
        <v>186</v>
      </c>
      <c r="L247" s="6" t="s">
        <v>187</v>
      </c>
      <c r="M247" s="6" t="s">
        <v>185</v>
      </c>
      <c r="N247" s="6" t="s">
        <v>78</v>
      </c>
      <c r="O247" s="6" t="s">
        <v>163</v>
      </c>
      <c r="P247" s="67">
        <v>317500</v>
      </c>
      <c r="Q247" s="67">
        <v>3749.24</v>
      </c>
      <c r="R247" s="6">
        <v>85.381399999999999</v>
      </c>
      <c r="S247" s="6" t="s">
        <v>164</v>
      </c>
      <c r="T247" s="6" t="s">
        <v>153</v>
      </c>
      <c r="U247" s="6" t="s">
        <v>342</v>
      </c>
      <c r="V247" s="6" t="s">
        <v>80</v>
      </c>
      <c r="W247" s="6" t="s">
        <v>294</v>
      </c>
      <c r="X247" s="6" t="s">
        <v>81</v>
      </c>
      <c r="Y247" s="6" t="s">
        <v>153</v>
      </c>
      <c r="Z247" s="6" t="s">
        <v>421</v>
      </c>
      <c r="AA247" s="6" t="s">
        <v>166</v>
      </c>
      <c r="AB247" s="6" t="s">
        <v>166</v>
      </c>
      <c r="AC247" s="6" t="s">
        <v>79</v>
      </c>
      <c r="AD247" s="6" t="s">
        <v>409</v>
      </c>
    </row>
    <row r="249" spans="1:45" ht="14.5">
      <c r="O249" s="11">
        <f>2500*125-5000</f>
        <v>307500</v>
      </c>
      <c r="P249" s="11">
        <f>2500*125+2500+2500</f>
        <v>317500</v>
      </c>
      <c r="Q249" s="11">
        <f>2500*125-5000</f>
        <v>307500</v>
      </c>
      <c r="R249" s="6">
        <v>84.683999999999997</v>
      </c>
      <c r="S249" s="66">
        <v>-43.58</v>
      </c>
    </row>
    <row r="250" spans="1:45">
      <c r="P250" s="11">
        <f>-25*2500-5000</f>
        <v>-67500</v>
      </c>
      <c r="Q250" s="11">
        <f>2500*100-5000</f>
        <v>245000</v>
      </c>
      <c r="S250" s="66">
        <v>-12.94</v>
      </c>
    </row>
    <row r="251" spans="1:45">
      <c r="P251" s="11">
        <f>P249-O249</f>
        <v>10000</v>
      </c>
      <c r="Q251" s="11">
        <f>Q249-Q250</f>
        <v>62500</v>
      </c>
      <c r="R251" s="103">
        <f>Q247+Q246</f>
        <v>30.629999999999654</v>
      </c>
      <c r="S251" s="27">
        <f>S249-S250</f>
        <v>-30.64</v>
      </c>
    </row>
    <row r="252" spans="1:45" ht="14.5">
      <c r="A252" s="138" t="s">
        <v>197</v>
      </c>
      <c r="Q252" s="67"/>
      <c r="R252" s="103"/>
    </row>
    <row r="253" spans="1:45">
      <c r="Q253" s="66"/>
    </row>
    <row r="254" spans="1:45" s="10" customFormat="1" ht="32" customHeight="1">
      <c r="A254" s="46" t="s">
        <v>124</v>
      </c>
      <c r="B254" s="46" t="s">
        <v>198</v>
      </c>
      <c r="C254" s="46" t="s">
        <v>199</v>
      </c>
      <c r="D254" s="46" t="s">
        <v>200</v>
      </c>
      <c r="E254" s="46" t="s">
        <v>127</v>
      </c>
      <c r="F254" s="46" t="s">
        <v>201</v>
      </c>
      <c r="G254" s="46" t="s">
        <v>202</v>
      </c>
      <c r="H254" s="46" t="s">
        <v>203</v>
      </c>
      <c r="I254" s="46" t="s">
        <v>92</v>
      </c>
      <c r="J254" s="46" t="s">
        <v>204</v>
      </c>
      <c r="K254" s="58" t="s">
        <v>100</v>
      </c>
      <c r="L254" s="46" t="s">
        <v>142</v>
      </c>
      <c r="M254" s="121" t="s">
        <v>205</v>
      </c>
      <c r="N254" s="121"/>
      <c r="O254" s="121" t="s">
        <v>113</v>
      </c>
      <c r="P254" s="121"/>
      <c r="Q254" s="121" t="s">
        <v>146</v>
      </c>
      <c r="R254" s="121"/>
      <c r="S254" s="121" t="s">
        <v>206</v>
      </c>
      <c r="T254" s="121"/>
      <c r="U254" s="46" t="s">
        <v>207</v>
      </c>
      <c r="V254" s="46" t="s">
        <v>208</v>
      </c>
      <c r="W254" s="46" t="s">
        <v>209</v>
      </c>
      <c r="X254" s="122" t="s">
        <v>98</v>
      </c>
      <c r="Y254" s="122"/>
      <c r="Z254" s="122" t="s">
        <v>210</v>
      </c>
      <c r="AA254" s="122"/>
      <c r="AB254" s="122" t="s">
        <v>211</v>
      </c>
      <c r="AC254" s="122"/>
      <c r="AD254" s="58" t="s">
        <v>212</v>
      </c>
      <c r="AE254" s="58" t="s">
        <v>213</v>
      </c>
      <c r="AF254" s="58" t="s">
        <v>214</v>
      </c>
      <c r="AG254" s="58" t="s">
        <v>215</v>
      </c>
      <c r="AH254" s="58" t="s">
        <v>216</v>
      </c>
      <c r="AI254" s="58" t="s">
        <v>217</v>
      </c>
      <c r="AJ254" s="58" t="s">
        <v>218</v>
      </c>
      <c r="AK254" s="58" t="s">
        <v>219</v>
      </c>
      <c r="AL254" s="58" t="s">
        <v>220</v>
      </c>
      <c r="AM254" s="58" t="s">
        <v>221</v>
      </c>
      <c r="AN254" s="58" t="s">
        <v>222</v>
      </c>
      <c r="AO254" s="73" t="s">
        <v>223</v>
      </c>
      <c r="AP254" s="105"/>
      <c r="AQ254" s="122" t="s">
        <v>224</v>
      </c>
      <c r="AR254" s="122"/>
      <c r="AS254" s="75" t="s">
        <v>225</v>
      </c>
    </row>
    <row r="255" spans="1:45" s="10" customFormat="1" ht="27" customHeight="1">
      <c r="A255" s="47" t="s">
        <v>341</v>
      </c>
      <c r="B255" s="47" t="s">
        <v>387</v>
      </c>
      <c r="C255" s="47" t="s">
        <v>388</v>
      </c>
      <c r="D255" s="47" t="s">
        <v>389</v>
      </c>
      <c r="E255" s="48">
        <v>45632</v>
      </c>
      <c r="F255" s="48">
        <v>45632</v>
      </c>
      <c r="G255" s="47" t="s">
        <v>407</v>
      </c>
      <c r="H255" s="47" t="s">
        <v>294</v>
      </c>
      <c r="I255" s="47" t="s">
        <v>342</v>
      </c>
      <c r="J255" s="47" t="s">
        <v>345</v>
      </c>
      <c r="K255" s="59">
        <v>125</v>
      </c>
      <c r="L255" s="60" t="s">
        <v>164</v>
      </c>
      <c r="N255" s="123" t="s">
        <v>230</v>
      </c>
      <c r="O255" s="123"/>
      <c r="P255" s="123" t="s">
        <v>82</v>
      </c>
      <c r="Q255" s="123"/>
      <c r="R255" s="123" t="s">
        <v>81</v>
      </c>
      <c r="S255" s="123"/>
      <c r="T255" s="124" t="s">
        <v>231</v>
      </c>
      <c r="U255" s="124"/>
      <c r="Y255" s="125">
        <v>2500</v>
      </c>
      <c r="Z255" s="125"/>
      <c r="AA255" s="126">
        <v>125</v>
      </c>
      <c r="AB255" s="126"/>
      <c r="AC255" s="59">
        <v>3660.05</v>
      </c>
      <c r="AD255" s="59" t="s">
        <v>232</v>
      </c>
      <c r="AE255" s="59">
        <v>29.28</v>
      </c>
      <c r="AF255" s="70">
        <v>0.79998907118755203</v>
      </c>
      <c r="AG255" s="59">
        <v>29.28</v>
      </c>
      <c r="AH255" s="59">
        <v>0</v>
      </c>
      <c r="AI255" s="59">
        <v>0</v>
      </c>
      <c r="AJ255" s="59">
        <v>307500</v>
      </c>
      <c r="AK255" s="59">
        <v>3601.49</v>
      </c>
      <c r="AL255" s="59">
        <v>317500</v>
      </c>
      <c r="AM255" s="59">
        <v>3749.24</v>
      </c>
      <c r="AN255" s="59">
        <v>-10000</v>
      </c>
      <c r="AO255" s="59">
        <v>-117.12</v>
      </c>
      <c r="AQ255" s="125">
        <v>0</v>
      </c>
      <c r="AR255" s="125"/>
      <c r="AS255" s="59">
        <v>0</v>
      </c>
    </row>
  </sheetData>
  <mergeCells count="46">
    <mergeCell ref="AQ254:AR254"/>
    <mergeCell ref="N255:O255"/>
    <mergeCell ref="P255:Q255"/>
    <mergeCell ref="R255:S255"/>
    <mergeCell ref="T255:U255"/>
    <mergeCell ref="Y255:Z255"/>
    <mergeCell ref="AA255:AB255"/>
    <mergeCell ref="AQ255:AR255"/>
    <mergeCell ref="Q254:R254"/>
    <mergeCell ref="S254:T254"/>
    <mergeCell ref="X254:Y254"/>
    <mergeCell ref="Z254:AA254"/>
    <mergeCell ref="AB254:AC254"/>
    <mergeCell ref="B157:C157"/>
    <mergeCell ref="B231:C231"/>
    <mergeCell ref="B232:C232"/>
    <mergeCell ref="M254:N254"/>
    <mergeCell ref="O254:P254"/>
    <mergeCell ref="AA75:AB75"/>
    <mergeCell ref="AQ75:AR75"/>
    <mergeCell ref="B109:C109"/>
    <mergeCell ref="B110:C110"/>
    <mergeCell ref="B156:C156"/>
    <mergeCell ref="N75:O75"/>
    <mergeCell ref="P75:Q75"/>
    <mergeCell ref="R75:S75"/>
    <mergeCell ref="T75:U75"/>
    <mergeCell ref="Y75:Z75"/>
    <mergeCell ref="A73:AT73"/>
    <mergeCell ref="N74:O74"/>
    <mergeCell ref="P74:Q74"/>
    <mergeCell ref="R74:S74"/>
    <mergeCell ref="T74:U74"/>
    <mergeCell ref="Y74:Z74"/>
    <mergeCell ref="AA74:AB74"/>
    <mergeCell ref="AQ74:AR74"/>
    <mergeCell ref="S72:T72"/>
    <mergeCell ref="X72:Y72"/>
    <mergeCell ref="Z72:AA72"/>
    <mergeCell ref="AB72:AC72"/>
    <mergeCell ref="AQ72:AR72"/>
    <mergeCell ref="B50:C50"/>
    <mergeCell ref="B51:C51"/>
    <mergeCell ref="M72:N72"/>
    <mergeCell ref="O72:P72"/>
    <mergeCell ref="Q72:R7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WAG</vt:lpstr>
      <vt:lpstr>FIFO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</dc:creator>
  <cp:lastModifiedBy>Vinoth Periyasamy</cp:lastModifiedBy>
  <dcterms:created xsi:type="dcterms:W3CDTF">2024-12-10T05:09:00Z</dcterms:created>
  <dcterms:modified xsi:type="dcterms:W3CDTF">2025-01-06T14:05:45Z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9C84A823C283453CBC64E043CE8C5F3B_11</vt:lpwstr>
  </property>
  <property fmtid="{D5CDD505-2E9C-101B-9397-08002B2CF9AE}" pid="3" name="KSOProductBuildVer">
    <vt:lpwstr>2057-12.2.0.18639</vt:lpwstr>
  </property>
</Properties>
</file>