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KFIN\WAG FIFO\WAG &amp; FIFO test results\"/>
    </mc:Choice>
  </mc:AlternateContent>
  <xr:revisionPtr revIDLastSave="0" documentId="13_ncr:1_{73B82B9A-CCC3-4514-AC49-155003A1BEFF}" xr6:coauthVersionLast="47" xr6:coauthVersionMax="47" xr10:uidLastSave="{00000000-0000-0000-0000-000000000000}"/>
  <bookViews>
    <workbookView xWindow="-110" yWindow="-110" windowWidth="19420" windowHeight="10300" xr2:uid="{8FDAFB0D-0B6E-4C26-A24B-23AF67DB2120}"/>
  </bookViews>
  <sheets>
    <sheet name="WAG" sheetId="1" r:id="rId1"/>
    <sheet name="FIF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02" i="7" l="1"/>
  <c r="AN202" i="7"/>
  <c r="AM202" i="7"/>
  <c r="AK202" i="7"/>
  <c r="Z202" i="7"/>
  <c r="AJ202" i="7" s="1"/>
  <c r="Q192" i="7"/>
  <c r="P192" i="7"/>
  <c r="P193" i="7" s="1"/>
  <c r="Q193" i="7" s="1"/>
  <c r="Q191" i="7"/>
  <c r="P191" i="7"/>
  <c r="AL202" i="7" s="1"/>
  <c r="W155" i="7"/>
  <c r="X155" i="7" s="1"/>
  <c r="T155" i="7"/>
  <c r="R155" i="7"/>
  <c r="AB153" i="7"/>
  <c r="AA153" i="7"/>
  <c r="AC151" i="7"/>
  <c r="AB151" i="7"/>
  <c r="AA151" i="7"/>
  <c r="Z151" i="7"/>
  <c r="Y151" i="7"/>
  <c r="P151" i="7"/>
  <c r="O151" i="7"/>
  <c r="Z90" i="7"/>
  <c r="Y90" i="7"/>
  <c r="P90" i="7"/>
  <c r="O90" i="7"/>
  <c r="M56" i="7"/>
  <c r="L56" i="7"/>
  <c r="J56" i="7"/>
  <c r="I56" i="7"/>
  <c r="P41" i="7"/>
  <c r="P39" i="7"/>
  <c r="P42" i="7" s="1"/>
  <c r="P38" i="7"/>
  <c r="W26" i="7"/>
  <c r="X26" i="7" s="1"/>
  <c r="R26" i="7"/>
  <c r="T26" i="7" s="1"/>
  <c r="R25" i="7"/>
  <c r="T25" i="7" s="1"/>
  <c r="AC202" i="7" l="1"/>
  <c r="W25" i="7"/>
  <c r="X25" i="7" s="1"/>
  <c r="AO205" i="1"/>
  <c r="AN205" i="1"/>
  <c r="AM205" i="1"/>
  <c r="AL205" i="1"/>
  <c r="AK205" i="1"/>
  <c r="AJ205" i="1"/>
  <c r="AC205" i="1"/>
  <c r="AB205" i="1"/>
  <c r="P197" i="1"/>
  <c r="P195" i="1"/>
  <c r="P194" i="1"/>
  <c r="W174" i="1"/>
  <c r="X174" i="1" s="1"/>
  <c r="T174" i="1"/>
  <c r="R174" i="1"/>
  <c r="AC168" i="1"/>
  <c r="AB168" i="1"/>
  <c r="AA168" i="1"/>
  <c r="Z168" i="1"/>
  <c r="Y168" i="1"/>
  <c r="P168" i="1"/>
  <c r="O168" i="1"/>
  <c r="AB109" i="1"/>
  <c r="AA109" i="1"/>
  <c r="Z109" i="1"/>
  <c r="Y109" i="1"/>
  <c r="P109" i="1"/>
  <c r="O109" i="1"/>
  <c r="M71" i="1"/>
  <c r="J71" i="1"/>
  <c r="L71" i="1"/>
  <c r="I71" i="1"/>
  <c r="AK80" i="1"/>
  <c r="AK79" i="1"/>
  <c r="AJ80" i="1"/>
  <c r="AJ79" i="1"/>
  <c r="AC80" i="1"/>
  <c r="AC79" i="1"/>
  <c r="AB80" i="1"/>
  <c r="AB79" i="1"/>
  <c r="P66" i="1"/>
  <c r="Q66" i="1" s="1"/>
  <c r="P65" i="1"/>
  <c r="Q65" i="1" s="1"/>
  <c r="R33" i="1"/>
  <c r="T33" i="1" s="1"/>
  <c r="R32" i="1"/>
  <c r="T32" i="1" s="1"/>
  <c r="W32" i="1" l="1"/>
  <c r="X32" i="1" s="1"/>
  <c r="W33" i="1"/>
  <c r="X33" i="1" s="1"/>
</calcChain>
</file>

<file path=xl/sharedStrings.xml><?xml version="1.0" encoding="utf-8"?>
<sst xmlns="http://schemas.openxmlformats.org/spreadsheetml/2006/main" count="2586" uniqueCount="425">
  <si>
    <t>Security</t>
  </si>
  <si>
    <t>Upload - Options</t>
  </si>
  <si>
    <t>portfolio</t>
  </si>
  <si>
    <t>invest_category</t>
  </si>
  <si>
    <t>custodian</t>
  </si>
  <si>
    <t>asset_class</t>
  </si>
  <si>
    <t>security</t>
  </si>
  <si>
    <t>security_base</t>
  </si>
  <si>
    <t>currency</t>
  </si>
  <si>
    <t>portfolio_ccy</t>
  </si>
  <si>
    <t>Derivative_type</t>
  </si>
  <si>
    <t>option_type</t>
  </si>
  <si>
    <t>call_put</t>
  </si>
  <si>
    <t>dealslip_no</t>
  </si>
  <si>
    <t>dealer</t>
  </si>
  <si>
    <t>Fund_manager</t>
  </si>
  <si>
    <t>quantity</t>
  </si>
  <si>
    <t>strike_price</t>
  </si>
  <si>
    <t>premium</t>
  </si>
  <si>
    <t>gross_amt_tcy</t>
  </si>
  <si>
    <t>Exch_rate</t>
  </si>
  <si>
    <t>gross_amt_pcy</t>
  </si>
  <si>
    <t>trade_fee_tcy</t>
  </si>
  <si>
    <t>trade_fee_pcy</t>
  </si>
  <si>
    <t>net_amount_tcy</t>
  </si>
  <si>
    <t>net_amount_pcy</t>
  </si>
  <si>
    <t>broker</t>
  </si>
  <si>
    <t>exchange</t>
  </si>
  <si>
    <t>Segment</t>
  </si>
  <si>
    <t>Delivery_type</t>
  </si>
  <si>
    <t>trans_code</t>
  </si>
  <si>
    <t>trade_date</t>
  </si>
  <si>
    <t>trans_date</t>
  </si>
  <si>
    <t>setl_date</t>
  </si>
  <si>
    <t>maturity_date</t>
  </si>
  <si>
    <t>bank_txn_mode</t>
  </si>
  <si>
    <t>bank_acc_code</t>
  </si>
  <si>
    <t>bank_exch_pcy_rate</t>
  </si>
  <si>
    <t>bank_acc_amt_acy</t>
  </si>
  <si>
    <t>bank_txn_ref</t>
  </si>
  <si>
    <t>bank_txn_date</t>
  </si>
  <si>
    <t>bank_txn_chrg_acy</t>
  </si>
  <si>
    <t>bank_txn_chrg_pcy</t>
  </si>
  <si>
    <t>rec_origin_ref</t>
  </si>
  <si>
    <t>rec_remarks</t>
  </si>
  <si>
    <t>fee1_type</t>
  </si>
  <si>
    <t>fee1_currency</t>
  </si>
  <si>
    <t>fee1_amt_tcy</t>
  </si>
  <si>
    <t>fee1_amt_fcy</t>
  </si>
  <si>
    <t>fee1_exch_rate</t>
  </si>
  <si>
    <t>fee1_amt_pcy</t>
  </si>
  <si>
    <t>fee2_type</t>
  </si>
  <si>
    <t>fee2_currency</t>
  </si>
  <si>
    <t>fee2_amt_tcy</t>
  </si>
  <si>
    <t>fee2_amt_fcy</t>
  </si>
  <si>
    <t>fee2_exch_rate</t>
  </si>
  <si>
    <t>fee2_amt_pcy</t>
  </si>
  <si>
    <t>fee3_type</t>
  </si>
  <si>
    <t>fee3_currency</t>
  </si>
  <si>
    <t>fee3_amt_tcy</t>
  </si>
  <si>
    <t>fee3_amt_fcy</t>
  </si>
  <si>
    <t>fee3_exch_rate</t>
  </si>
  <si>
    <t>fee3_amt_pcy</t>
  </si>
  <si>
    <t>fee4_type</t>
  </si>
  <si>
    <t>fee4_currency</t>
  </si>
  <si>
    <t>fee4_amt_tcy</t>
  </si>
  <si>
    <t>fee4_amt_fcy</t>
  </si>
  <si>
    <t>fee4_exch_rate</t>
  </si>
  <si>
    <t>fee4_amt_pcy</t>
  </si>
  <si>
    <t>fee5_type</t>
  </si>
  <si>
    <t>fee5_currency</t>
  </si>
  <si>
    <t>fee5_amt_tcy</t>
  </si>
  <si>
    <t>fee5_amt_fcy</t>
  </si>
  <si>
    <t>fee5_exch_rate</t>
  </si>
  <si>
    <t>fee5_amt_pcy</t>
  </si>
  <si>
    <t>AAEARFIII</t>
  </si>
  <si>
    <t>INVEST</t>
  </si>
  <si>
    <t>DIRECT</t>
  </si>
  <si>
    <t>INR</t>
  </si>
  <si>
    <t>USD</t>
  </si>
  <si>
    <t>OPT</t>
  </si>
  <si>
    <t>NA</t>
  </si>
  <si>
    <t>PE</t>
  </si>
  <si>
    <t>NSE</t>
  </si>
  <si>
    <t>CM</t>
  </si>
  <si>
    <t>CH</t>
  </si>
  <si>
    <t>OPTPUR</t>
  </si>
  <si>
    <t>TRF</t>
  </si>
  <si>
    <t>AAEADERINR</t>
  </si>
  <si>
    <t>BRK</t>
  </si>
  <si>
    <t>STT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</si>
  <si>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</si>
  <si>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</si>
  <si>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</si>
  <si>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</si>
  <si>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</si>
  <si>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</si>
  <si>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</si>
  <si>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</si>
  <si>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</si>
  <si>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</si>
  <si>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</si>
  <si>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</si>
  <si>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</si>
  <si>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</si>
  <si>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</si>
  <si>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</si>
  <si>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</si>
  <si>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</si>
  <si>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</si>
  <si>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</si>
  <si>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</si>
  <si>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</si>
  <si>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</si>
  <si>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</si>
  <si>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</si>
  <si>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</si>
  <si>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</si>
  <si>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</si>
  <si>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</si>
  <si>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/>
  </si>
  <si>
    <t>DERTRAN_CONFIRM</t>
  </si>
  <si>
    <t>LIA</t>
  </si>
  <si>
    <t>212024</t>
  </si>
  <si>
    <t>STT Payable</t>
  </si>
  <si>
    <t>STTAMOUNTPAY</t>
  </si>
  <si>
    <t>212024-INR</t>
  </si>
  <si>
    <t>Cr</t>
  </si>
  <si>
    <t>31</t>
  </si>
  <si>
    <t>N</t>
  </si>
  <si>
    <t>EXP</t>
  </si>
  <si>
    <t>810324</t>
  </si>
  <si>
    <t>STT Fee</t>
  </si>
  <si>
    <t>STTAMOUNTEXP</t>
  </si>
  <si>
    <t>810324-INR</t>
  </si>
  <si>
    <t>Dr</t>
  </si>
  <si>
    <t>210100</t>
  </si>
  <si>
    <t>CONTRACT FOR PURCHASE OF INVESTMENT</t>
  </si>
  <si>
    <t>BROKERPAY</t>
  </si>
  <si>
    <t>210100-31-INR</t>
  </si>
  <si>
    <t>AST</t>
  </si>
  <si>
    <t>010101</t>
  </si>
  <si>
    <t>Investments</t>
  </si>
  <si>
    <t>INVESTMENT</t>
  </si>
  <si>
    <t>010101-31-INR</t>
  </si>
  <si>
    <t>110100</t>
  </si>
  <si>
    <t>Current Bank Account</t>
  </si>
  <si>
    <t>CURRENTBACCOUNT</t>
  </si>
  <si>
    <t>110100-AAEADERINR-INR</t>
  </si>
  <si>
    <t>Accounting Enquiry</t>
  </si>
  <si>
    <t>Holding</t>
  </si>
  <si>
    <t>Symbol</t>
  </si>
  <si>
    <t xml:space="preserve">Security Name </t>
  </si>
  <si>
    <t xml:space="preserve">Security Listed </t>
  </si>
  <si>
    <t>TCY</t>
  </si>
  <si>
    <t>ISIN Code</t>
  </si>
  <si>
    <t>Maturity Date</t>
  </si>
  <si>
    <t>Quantity</t>
  </si>
  <si>
    <t>Average Price</t>
  </si>
  <si>
    <t>Strike Price</t>
  </si>
  <si>
    <t>Book Cost in TCY</t>
  </si>
  <si>
    <t>Book Cost in PCY</t>
  </si>
  <si>
    <t>Market Price</t>
  </si>
  <si>
    <t>Market Value in TCY</t>
  </si>
  <si>
    <t>Market Value in PCY</t>
  </si>
  <si>
    <t>% of NAV</t>
  </si>
  <si>
    <t>Interest Accruals in TCY</t>
  </si>
  <si>
    <t>Interest Accruals in PCY</t>
  </si>
  <si>
    <t>Accrued AOD TCY</t>
  </si>
  <si>
    <t>Accrued AOD PCY</t>
  </si>
  <si>
    <t>Amortised Cost PCY</t>
  </si>
  <si>
    <t>Amortised Cost Per Unit</t>
  </si>
  <si>
    <t>Exchange</t>
  </si>
  <si>
    <t>App/Dep in TCY</t>
  </si>
  <si>
    <t>App/Dep in PCY</t>
  </si>
  <si>
    <t>Unrel GL TCY</t>
  </si>
  <si>
    <t>Unrel GL PCY</t>
  </si>
  <si>
    <t>Unrel GL FX PCY</t>
  </si>
  <si>
    <t>Variable Margin TCY</t>
  </si>
  <si>
    <t>Variable Margin PCY</t>
  </si>
  <si>
    <t>Market Price Date</t>
  </si>
  <si>
    <t>Purchase Sale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</si>
  <si>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</si>
  <si>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</si>
  <si>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</si>
  <si>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</si>
  <si>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</si>
  <si>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</si>
  <si>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</si>
  <si>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Asset Name</t>
  </si>
  <si>
    <t>Broker Name</t>
  </si>
  <si>
    <t>CounterParty</t>
  </si>
  <si>
    <t>CounterParty Name</t>
  </si>
  <si>
    <t>Custodian Name</t>
  </si>
  <si>
    <t>Rate</t>
  </si>
  <si>
    <t>Gross Value</t>
  </si>
  <si>
    <t>Yield</t>
  </si>
  <si>
    <t>Brokerage</t>
  </si>
  <si>
    <t>Brokerage %</t>
  </si>
  <si>
    <t>Stt Amount</t>
  </si>
  <si>
    <t>Clearing Fees</t>
  </si>
  <si>
    <t>Others Fees</t>
  </si>
  <si>
    <t>Net Amount TCY</t>
  </si>
  <si>
    <t>Net Amount PCY</t>
  </si>
  <si>
    <t>Acquisition Cost TCY</t>
  </si>
  <si>
    <t>Acquisition Cost PCY</t>
  </si>
  <si>
    <t>Gain Loss TCY</t>
  </si>
  <si>
    <t>Gain Loss PCY</t>
  </si>
  <si>
    <t>Gross Interest TCY</t>
  </si>
  <si>
    <t>Gross Interest PCY</t>
  </si>
  <si>
    <t>Alpha Alternatives Equity Absolute Return Fund</t>
  </si>
  <si>
    <t>OPTIONS DERIVATIVE</t>
  </si>
  <si>
    <t>Direct</t>
  </si>
  <si>
    <t>0.0000%</t>
  </si>
  <si>
    <t>Upload market price</t>
  </si>
  <si>
    <t>IND02OPTNSE19MAR2025OPTPE</t>
  </si>
  <si>
    <t>01-Dec-2024</t>
  </si>
  <si>
    <t>DT244101580007618806</t>
  </si>
  <si>
    <t>DT2441015800076188</t>
  </si>
  <si>
    <t xml:space="preserve">STT Charges Payable on Purchase of 5678 quantity of IND02OPTNSE19MAR2025OPTPE IND02OPTNSE19MAR2025OPTPE-MAR Series </t>
  </si>
  <si>
    <t>DT2441015800076186</t>
  </si>
  <si>
    <t>DT244101580007618805</t>
  </si>
  <si>
    <t xml:space="preserve">STT Charges Expense on Purchase of 5678 quantity of IND02OPTNSE19MAR2025OPTPE IND02OPTNSE19MAR2025OPTPE-MAR Series </t>
  </si>
  <si>
    <t>DT244101580007618804</t>
  </si>
  <si>
    <t>212021</t>
  </si>
  <si>
    <t>BROKERGE PAYABLE DEBT</t>
  </si>
  <si>
    <t>BROKERAGEPAY</t>
  </si>
  <si>
    <t>212021-DIRECT-INR</t>
  </si>
  <si>
    <t xml:space="preserve">Broker Fee Payable on Purchase of 5678 quantity of IND02OPTNSE19MAR2025OPTPE IND02OPTNSE19MAR2025OPTPE-MAR Series </t>
  </si>
  <si>
    <t>DT244101580007618803</t>
  </si>
  <si>
    <t>810000</t>
  </si>
  <si>
    <t>Brokerages &amp; Fees On Futures</t>
  </si>
  <si>
    <t>BROKERAGEEXP</t>
  </si>
  <si>
    <t>810000-31-DIRECT-INR</t>
  </si>
  <si>
    <t xml:space="preserve">Broker Fee Expense on Purchase of 5678 quantity of IND02OPTNSE19MAR2025OPTPE IND02OPTNSE19MAR2025OPTPE-MAR Series </t>
  </si>
  <si>
    <t>DT244101580007618802</t>
  </si>
  <si>
    <t xml:space="preserve">Broker Payable on Purchase of 5678 quantity of IND02OPTNSE19MAR2025OPTPE IND02OPTNSE19MAR2025OPTPE-MAR Series </t>
  </si>
  <si>
    <t>DT244101580007618801</t>
  </si>
  <si>
    <t xml:space="preserve">Purchase of 5678 quantity of IND02OPTNSE19MAR2025OPTPE IND02OPTNSE19MAR2025OPTPE-MAR Series </t>
  </si>
  <si>
    <t>DT244101580007618706</t>
  </si>
  <si>
    <t>DT2441015800076187</t>
  </si>
  <si>
    <t xml:space="preserve">STT Charges Payable on Purchase of 456 quantity of IND02OPTNSE19MAR2025OPTPE IND02OPTNSE19MAR2025OPTPE-MAR Series </t>
  </si>
  <si>
    <t>DT2441015800076185</t>
  </si>
  <si>
    <t>DT244101580007618705</t>
  </si>
  <si>
    <t xml:space="preserve">STT Charges Expense on Purchase of 456 quantity of IND02OPTNSE19MAR2025OPTPE IND02OPTNSE19MAR2025OPTPE-MAR Series </t>
  </si>
  <si>
    <t>DT244101580007618704</t>
  </si>
  <si>
    <t xml:space="preserve">Broker Fee Payable on Purchase of 456 quantity of IND02OPTNSE19MAR2025OPTPE IND02OPTNSE19MAR2025OPTPE-MAR Series </t>
  </si>
  <si>
    <t>DT244101580007618703</t>
  </si>
  <si>
    <t xml:space="preserve">Broker Fee Expense on Purchase of 456 quantity of IND02OPTNSE19MAR2025OPTPE IND02OPTNSE19MAR2025OPTPE-MAR Series </t>
  </si>
  <si>
    <t>DT244101580007618702</t>
  </si>
  <si>
    <t xml:space="preserve">credit settlement - Buy 456 quantity of IND02OPTNSE19MAR2025OPTPE IND02OPTNSE19MAR2025OPTPE-MAR Series </t>
  </si>
  <si>
    <t>DT244101580007618701</t>
  </si>
  <si>
    <t xml:space="preserve">Purchase of 456 quantity of IND02OPTNSE19MAR2025OPTPE IND02OPTNSE19MAR2025OPTPE-MAR Series </t>
  </si>
  <si>
    <t>Asset Class:31 - OPTIONS DERIVATIVE</t>
  </si>
  <si>
    <t>V01</t>
  </si>
  <si>
    <t>080</t>
  </si>
  <si>
    <t xml:space="preserve">IND02OPTNSE19MAR2025OPTPE-MAR Series </t>
  </si>
  <si>
    <t>UG244101580016746002</t>
  </si>
  <si>
    <t>UG2441015800167460</t>
  </si>
  <si>
    <t>UNREAL_GAINLOSS</t>
  </si>
  <si>
    <t>INC</t>
  </si>
  <si>
    <t>500002</t>
  </si>
  <si>
    <t>Unrealised on SWAP TRS/CCS/IRS</t>
  </si>
  <si>
    <t>DERVUNREALGL</t>
  </si>
  <si>
    <t>500002-31-INR</t>
  </si>
  <si>
    <t>UPRFLS</t>
  </si>
  <si>
    <t xml:space="preserve">Unrealised Gain/Loss on Security IND02OPTNSE19MAR2025OPTPE on the Price change - Strike Price 7889 IND02OPTNSE19MAR2025OPTPE-MAR Series </t>
  </si>
  <si>
    <t>Y</t>
  </si>
  <si>
    <t>UG244101580016746001</t>
  </si>
  <si>
    <t>010111</t>
  </si>
  <si>
    <t>Apre depre SWAP- IRS/CCS/TRS</t>
  </si>
  <si>
    <t>DERVAPPDEP</t>
  </si>
  <si>
    <t>010111-31-INR</t>
  </si>
  <si>
    <t>Freeze NAV</t>
  </si>
  <si>
    <t>Forex Rate</t>
  </si>
  <si>
    <t>02-Dec-2024</t>
  </si>
  <si>
    <t>UG244101580016755404</t>
  </si>
  <si>
    <t>UG2441015800167554</t>
  </si>
  <si>
    <t>UG244101580016755403</t>
  </si>
  <si>
    <t>510980</t>
  </si>
  <si>
    <t>Investment fx gain/loss</t>
  </si>
  <si>
    <t>UNREALGLFOREX</t>
  </si>
  <si>
    <t>510980-31-INR</t>
  </si>
  <si>
    <t xml:space="preserve">Unrealised Gain/Loss on Security IND02OPTNSE19MAR2025OPTPE on the FX change - Strike Price 7889 IND02OPTNSE19MAR2025OPTPE-MAR Series </t>
  </si>
  <si>
    <t>UG244101580016755402</t>
  </si>
  <si>
    <t>010113</t>
  </si>
  <si>
    <t>Unrealized Gain/Loss On FX - Swap</t>
  </si>
  <si>
    <t>INVFXSWAP</t>
  </si>
  <si>
    <t>010113-31-INR</t>
  </si>
  <si>
    <t>UG244101580016755401</t>
  </si>
  <si>
    <t>PR244101580005417502</t>
  </si>
  <si>
    <t>PR2441015800054175</t>
  </si>
  <si>
    <t>PAYREC_SETTLE</t>
  </si>
  <si>
    <t>TSTBRP</t>
  </si>
  <si>
    <t xml:space="preserve">Broker Purchase Settlement of 5678 quantity of IND02OPTNSE19MAR2025OPTPE IND02OPTNSE19MAR2025OPTPE-MAR Series </t>
  </si>
  <si>
    <t>PR244101580005417501</t>
  </si>
  <si>
    <t>OPTSAL</t>
  </si>
  <si>
    <t>Complete Sale</t>
  </si>
  <si>
    <t>DT244101580007619012</t>
  </si>
  <si>
    <t>DT2441015800076190</t>
  </si>
  <si>
    <t xml:space="preserve">Unrel Forex reversal on Sale of 6134 quantity of IND02OPTNSE19MAR2025OPTPE IND02OPTNSE19MAR2025OPTPE-MAR Series </t>
  </si>
  <si>
    <t>DT2441015800076189</t>
  </si>
  <si>
    <t>DT244101580007619011</t>
  </si>
  <si>
    <t>DT244101580007619010</t>
  </si>
  <si>
    <t xml:space="preserve">Unrel Appr/depr  Reversal for sale transaction IND02OPTNSE19MAR2025OPTPE-MAR Series </t>
  </si>
  <si>
    <t>DT244101580007619009</t>
  </si>
  <si>
    <t>DT244101580007619008</t>
  </si>
  <si>
    <t>611001</t>
  </si>
  <si>
    <t>Gain/(Loss) On Foreign Exchange</t>
  </si>
  <si>
    <t>REALGLFOREX</t>
  </si>
  <si>
    <t>611001-INR-INR</t>
  </si>
  <si>
    <t xml:space="preserve">Gain/Loss Forex on Sale of 6134 quantity of IND02OPTNSE19MAR2025OPTPE IND02OPTNSE19MAR2025OPTPE-MAR Series </t>
  </si>
  <si>
    <t>DT244101580007619007</t>
  </si>
  <si>
    <t>810010</t>
  </si>
  <si>
    <t>Loss on Sale of Investments - Market</t>
  </si>
  <si>
    <t>MARKETLOSS</t>
  </si>
  <si>
    <t>810010-31-INR</t>
  </si>
  <si>
    <t xml:space="preserve">Loss on Sale of 6134 quantity of IND02OPTNSE19MAR2025OPTPE IND02OPTNSE19MAR2025OPTPE-MAR Series </t>
  </si>
  <si>
    <t>DT244101580007619006</t>
  </si>
  <si>
    <t xml:space="preserve">STT Charges Payable on Sale of 6134 quantity of IND02OPTNSE19MAR2025OPTPE IND02OPTNSE19MAR2025OPTPE-MAR Series </t>
  </si>
  <si>
    <t>DT244101580007619005</t>
  </si>
  <si>
    <t xml:space="preserve">STT Charges Expense on Sale of 6134 quantity of IND02OPTNSE19MAR2025OPTPE IND02OPTNSE19MAR2025OPTPE-MAR Series </t>
  </si>
  <si>
    <t>DT244101580007619004</t>
  </si>
  <si>
    <t xml:space="preserve">Broker Fee Payable on Sale of 6134 quantity of IND02OPTNSE19MAR2025OPTPE IND02OPTNSE19MAR2025OPTPE-MAR Series </t>
  </si>
  <si>
    <t>DT244101580007619003</t>
  </si>
  <si>
    <t xml:space="preserve">Broker Fee Expense on Sale of 6134 quantity of IND02OPTNSE19MAR2025OPTPE IND02OPTNSE19MAR2025OPTPE-MAR Series </t>
  </si>
  <si>
    <t>DT244101580007619002</t>
  </si>
  <si>
    <t xml:space="preserve">Sale Trade Settlement of 6134 quantity of IND02OPTNSE19MAR2025OPTPE IND02OPTNSE19MAR2025OPTPE-MAR Series </t>
  </si>
  <si>
    <t>DT244101580007619001</t>
  </si>
  <si>
    <t xml:space="preserve">Cost of Sale on 6134 quantity of IND02OPTNSE19MAR2025OPTPE IND02OPTNSE19MAR2025OPTPE-MAR Series </t>
  </si>
  <si>
    <t>Book Cost</t>
  </si>
  <si>
    <t>Sell Cost</t>
  </si>
  <si>
    <t>Loss</t>
  </si>
  <si>
    <t>Derv Upload</t>
  </si>
  <si>
    <t>SVGDFI</t>
  </si>
  <si>
    <t>IND02OPTNSE11DEC2024OPTCE</t>
  </si>
  <si>
    <t>CE</t>
  </si>
  <si>
    <t>22-Mar-2024</t>
  </si>
  <si>
    <t>DT244251637000003103</t>
  </si>
  <si>
    <t>DT2442516370000031</t>
  </si>
  <si>
    <t>611000</t>
  </si>
  <si>
    <t>Profit on Sale of Investments - Market</t>
  </si>
  <si>
    <t>MARKETPROFIT</t>
  </si>
  <si>
    <t>611000-31-INR</t>
  </si>
  <si>
    <t xml:space="preserve">Gain on Sale of 7899 quantity of IND02OPTNSE11DEC2024OPTCE IND02OPTNSE11DEC2024OPTCE-DEC Series </t>
  </si>
  <si>
    <t>DT2442516370000029</t>
  </si>
  <si>
    <t>DT244251637000003102</t>
  </si>
  <si>
    <t>110100-923020025866944-INR</t>
  </si>
  <si>
    <t xml:space="preserve">Sale Trade Settlement of 7899 quantity of IND02OPTNSE11DEC2024OPTCE IND02OPTNSE11DEC2024OPTCE-DEC Series </t>
  </si>
  <si>
    <t>DT244251637000003101</t>
  </si>
  <si>
    <t xml:space="preserve">Cost of Sale on 7899 quantity of IND02OPTNSE11DEC2024OPTCE IND02OPTNSE11DEC2024OPTCE-DEC Series </t>
  </si>
  <si>
    <t>DT244251637000003002</t>
  </si>
  <si>
    <t>DT2442516370000030</t>
  </si>
  <si>
    <t xml:space="preserve">Broker Payable on Purchase of 31515 quantity of IND02OPTNSE11DEC2024OPTCE IND02OPTNSE11DEC2024OPTCE-DEC Series </t>
  </si>
  <si>
    <t>DT2442516370000028</t>
  </si>
  <si>
    <t>DT244251637000003001</t>
  </si>
  <si>
    <t xml:space="preserve">Purchase of 31515 quantity of IND02OPTNSE11DEC2024OPTCE IND02OPTNSE11DEC2024OPTCE-DEC Series </t>
  </si>
  <si>
    <t>Profit</t>
  </si>
  <si>
    <t>Stride Ventures Global Debt Fund I</t>
  </si>
  <si>
    <t xml:space="preserve">IND02OPTNSE11DEC2024OPTCE-DEC Series </t>
  </si>
  <si>
    <t>Upload Market Price</t>
  </si>
  <si>
    <t>UG244251637000000902</t>
  </si>
  <si>
    <t>UG2442516370000009</t>
  </si>
  <si>
    <t xml:space="preserve">Unrealised Gain/Loss on Security IND02OPTNSE11DEC2024OPTCE on the Price change - Strike Price 50500 IND02OPTNSE11DEC2024OPTCE-DEC Series </t>
  </si>
  <si>
    <t>UG244251637000000901</t>
  </si>
  <si>
    <t>Freeze Nav</t>
  </si>
  <si>
    <t>Create Forex Rate</t>
  </si>
  <si>
    <t>23-Mar-2024</t>
  </si>
  <si>
    <t>UG244251637000001504</t>
  </si>
  <si>
    <t>UG2442516370000015</t>
  </si>
  <si>
    <t>UG244251637000001503</t>
  </si>
  <si>
    <t xml:space="preserve">Unrealised Gain/Loss on Security IND02OPTNSE11DEC2024OPTCE on the FX change - Strike Price 50500 IND02OPTNSE11DEC2024OPTCE-DEC Series </t>
  </si>
  <si>
    <t>UG244251637000001502</t>
  </si>
  <si>
    <t>UG244251637000001501</t>
  </si>
  <si>
    <t>PR244251637000006102</t>
  </si>
  <si>
    <t>PR2442516370000061</t>
  </si>
  <si>
    <t xml:space="preserve">Broker Purchase Settlement of 31515 quantity of IND02OPTNSE11DEC2024OPTCE IND02OPTNSE11DEC2024OPTCE-DEC Series </t>
  </si>
  <si>
    <t>PR244251637000006101</t>
  </si>
  <si>
    <t>Holding By Lot</t>
  </si>
  <si>
    <t>Security Code</t>
  </si>
  <si>
    <t>Security Short Name</t>
  </si>
  <si>
    <t>Security Description</t>
  </si>
  <si>
    <t>Security Currency</t>
  </si>
  <si>
    <t>Investment Category</t>
  </si>
  <si>
    <t>Holding Lot No</t>
  </si>
  <si>
    <t>TaxLot Reference</t>
  </si>
  <si>
    <t>Purchase Date</t>
  </si>
  <si>
    <t xml:space="preserve">
Settlement Date</t>
  </si>
  <si>
    <t>No of Days</t>
  </si>
  <si>
    <t>Deemed Maturity Date</t>
  </si>
  <si>
    <t>Quantity / Nominal</t>
  </si>
  <si>
    <t>Book Cost in Security
Currency</t>
  </si>
  <si>
    <t>Book Cost in Fund
Currency</t>
  </si>
  <si>
    <t>Book Cost at current FX</t>
  </si>
  <si>
    <t>Market Value in Security
Currency</t>
  </si>
  <si>
    <t>Market Value in Fund
Currency</t>
  </si>
  <si>
    <t>Accrued 
Interest in Security Currency</t>
  </si>
  <si>
    <t>Accrued 
Interest in Fund Currency</t>
  </si>
  <si>
    <t>Accrued AOD in Security Currency</t>
  </si>
  <si>
    <t>Accrued AOD in Fund Currency</t>
  </si>
  <si>
    <t>Amortised Cost in Security Currency</t>
  </si>
  <si>
    <t>App/Dep in
Security Currency</t>
  </si>
  <si>
    <t>App/Dep in
Fund
Currency</t>
  </si>
  <si>
    <t>FX Gain</t>
  </si>
  <si>
    <t>App/Dep in Fund CCY without FX</t>
  </si>
  <si>
    <t>IND02OPTNSE11DE C2024OPTCE</t>
  </si>
  <si>
    <t>IND02OPT</t>
  </si>
  <si>
    <t>1</t>
  </si>
  <si>
    <t>DT244251637000003308</t>
  </si>
  <si>
    <t>DT2442516370000033</t>
  </si>
  <si>
    <t xml:space="preserve">Unrel Forex reversal on Sale of 23616 quantity of IND02OPTNSE11DEC2024OPTCE IND02OPTNSE11DEC2024OPTCE-DEC Series </t>
  </si>
  <si>
    <t>DT2442516370000032</t>
  </si>
  <si>
    <t>DT244251637000003307</t>
  </si>
  <si>
    <t>DT244251637000003306</t>
  </si>
  <si>
    <t xml:space="preserve">Unrel Appr/depr  Reversal for sale transaction IND02OPTNSE11DEC2024OPTCE-DEC Series </t>
  </si>
  <si>
    <t>DT244251637000003305</t>
  </si>
  <si>
    <t>DT244251637000003304</t>
  </si>
  <si>
    <t xml:space="preserve">Gain/Loss Forex on Sale of 23616 quantity of IND02OPTNSE11DEC2024OPTCE IND02OPTNSE11DEC2024OPTCE-DEC Series </t>
  </si>
  <si>
    <t>DT244251637000003303</t>
  </si>
  <si>
    <t xml:space="preserve">Gain on Sale of 23616 quantity of IND02OPTNSE11DEC2024OPTCE IND02OPTNSE11DEC2024OPTCE-DEC Series </t>
  </si>
  <si>
    <t>DT244251637000003302</t>
  </si>
  <si>
    <t xml:space="preserve">Sale Trade Settlement of 23616 quantity of IND02OPTNSE11DEC2024OPTCE IND02OPTNSE11DEC2024OPTCE-DEC Series </t>
  </si>
  <si>
    <t>DT244251637000003301</t>
  </si>
  <si>
    <t xml:space="preserve">Cost of Sale on 23616 quantity of IND02OPTNSE11DEC2024OPTCE IND02OPTNSE11DEC2024OPTCE-DEC Series 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</si>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</sst>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;@"/>
    <numFmt numFmtId="165" formatCode="##0.0000"/>
    <numFmt numFmtId="166" formatCode="dd\-mmm\-yy"/>
    <numFmt numFmtId="167" formatCode="#,#00.00"/>
    <numFmt numFmtId="168" formatCode="dd\-mmm\-yyyy"/>
    <numFmt numFmtId="169" formatCode="#,##0.0000;\(#,##0.0000\)"/>
    <numFmt numFmtId="170" formatCode="###,##0.0000;\(###,##0.0000\)"/>
    <numFmt numFmtId="171" formatCode="#,##0.000000"/>
    <numFmt numFmtId="172" formatCode="#,##0.00;\(#,##0.00\)"/>
    <numFmt numFmtId="173" formatCode="#,##0.0000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ptos Narrow"/>
      <family val="2"/>
      <scheme val="minor"/>
    </font>
    <font>
      <sz val="12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rgb="FF333333"/>
      <name val="Calibri"/>
      <family val="2"/>
    </font>
    <font>
      <sz val="11"/>
      <name val="Dialog"/>
      <family val="2"/>
    </font>
    <font>
      <b/>
      <sz val="11"/>
      <name val="Calibri"/>
      <family val="2"/>
    </font>
    <font>
      <b/>
      <sz val="8"/>
      <color indexed="8"/>
      <name val="Roboto Condensed"/>
    </font>
    <font>
      <sz val="8"/>
      <color indexed="8"/>
      <name val="Roboto"/>
    </font>
    <font>
      <b/>
      <sz val="10"/>
      <color indexed="8"/>
      <name val="Roboto Condensed"/>
    </font>
    <font>
      <b/>
      <sz val="10"/>
      <color indexed="8"/>
      <name val="Arial"/>
      <family val="2"/>
    </font>
    <font>
      <b/>
      <sz val="10"/>
      <color indexed="8"/>
      <name val="Roboto"/>
    </font>
    <font>
      <b/>
      <sz val="6"/>
      <color indexed="8"/>
      <name val="Roboto Condensed"/>
    </font>
    <font>
      <sz val="5"/>
      <color indexed="8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/>
      <right style="hair">
        <color rgb="FFEBEBF6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0">
    <xf numFmtId="0" fontId="0" fillId="0" borderId="0" xfId="0"/>
    <xf numFmtId="0" fontId="4" fillId="2" borderId="0" xfId="1" applyFont="1" applyFill="1">
      <alignment vertical="center"/>
    </xf>
    <xf numFmtId="0" fontId="2" fillId="2" borderId="0" xfId="1" applyFill="1">
      <alignment vertical="center"/>
    </xf>
    <xf numFmtId="2" fontId="5" fillId="0" borderId="0" xfId="1" applyNumberFormat="1" applyFont="1" applyAlignment="1"/>
    <xf numFmtId="0" fontId="6" fillId="0" borderId="0" xfId="1" applyFont="1" applyAlignment="1"/>
    <xf numFmtId="0" fontId="7" fillId="0" borderId="0" xfId="1" applyFont="1" applyAlignment="1"/>
    <xf numFmtId="0" fontId="8" fillId="0" borderId="0" xfId="1" applyFont="1">
      <alignment vertical="center"/>
    </xf>
    <xf numFmtId="165" fontId="6" fillId="0" borderId="0" xfId="1" applyNumberFormat="1" applyFont="1" applyAlignment="1"/>
    <xf numFmtId="0" fontId="9" fillId="2" borderId="0" xfId="1" applyFont="1" applyFill="1" applyAlignment="1">
      <alignment horizontal="right"/>
    </xf>
    <xf numFmtId="166" fontId="7" fillId="0" borderId="0" xfId="1" applyNumberFormat="1" applyFont="1" applyAlignment="1"/>
    <xf numFmtId="166" fontId="6" fillId="0" borderId="0" xfId="1" applyNumberFormat="1" applyFont="1" applyAlignment="1"/>
    <xf numFmtId="0" fontId="10" fillId="0" borderId="0" xfId="0" applyFont="1" applyAlignment="1">
      <alignment horizontal="center" vertical="center"/>
    </xf>
    <xf numFmtId="167" fontId="0" fillId="0" borderId="0" xfId="0" applyNumberFormat="1"/>
    <xf numFmtId="4" fontId="0" fillId="0" borderId="0" xfId="0" applyNumberFormat="1"/>
    <xf numFmtId="0" fontId="1" fillId="4" borderId="0" xfId="0" applyFont="1" applyFill="1"/>
    <xf numFmtId="0" fontId="0" fillId="4" borderId="0" xfId="0" applyFill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68" fontId="12" fillId="0" borderId="0" xfId="0" applyNumberFormat="1" applyFont="1" applyAlignment="1">
      <alignment horizontal="left" vertical="center" wrapText="1"/>
    </xf>
    <xf numFmtId="169" fontId="12" fillId="0" borderId="0" xfId="0" applyNumberFormat="1" applyFont="1" applyAlignment="1">
      <alignment horizontal="right" vertical="center" wrapText="1"/>
    </xf>
    <xf numFmtId="170" fontId="12" fillId="0" borderId="0" xfId="0" applyNumberFormat="1" applyFont="1" applyAlignment="1">
      <alignment horizontal="right" vertical="center" wrapText="1"/>
    </xf>
    <xf numFmtId="171" fontId="12" fillId="0" borderId="0" xfId="0" applyNumberFormat="1" applyFont="1" applyAlignment="1">
      <alignment horizontal="right" vertical="center" wrapText="1"/>
    </xf>
    <xf numFmtId="172" fontId="12" fillId="0" borderId="0" xfId="0" applyNumberFormat="1" applyFont="1" applyAlignment="1">
      <alignment horizontal="right" vertical="center" wrapText="1"/>
    </xf>
    <xf numFmtId="173" fontId="12" fillId="0" borderId="0" xfId="0" applyNumberFormat="1" applyFont="1" applyAlignment="1">
      <alignment horizontal="right" vertical="center" wrapText="1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right" vertical="center" wrapText="1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3" fillId="6" borderId="1" xfId="0" applyFont="1" applyFill="1" applyBorder="1" applyAlignment="1">
      <alignment horizontal="right" vertical="center" wrapText="1"/>
    </xf>
    <xf numFmtId="172" fontId="12" fillId="0" borderId="0" xfId="0" applyNumberFormat="1" applyFont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168" fontId="12" fillId="6" borderId="0" xfId="0" applyNumberFormat="1" applyFont="1" applyFill="1" applyAlignment="1">
      <alignment horizontal="left" vertical="center" wrapText="1"/>
    </xf>
    <xf numFmtId="172" fontId="12" fillId="6" borderId="0" xfId="0" applyNumberFormat="1" applyFont="1" applyFill="1" applyAlignment="1">
      <alignment horizontal="right" vertical="center" wrapText="1"/>
    </xf>
    <xf numFmtId="172" fontId="12" fillId="6" borderId="0" xfId="0" applyNumberFormat="1" applyFont="1" applyFill="1" applyAlignment="1">
      <alignment horizontal="left" vertical="center" wrapText="1"/>
    </xf>
    <xf numFmtId="171" fontId="12" fillId="6" borderId="0" xfId="0" applyNumberFormat="1" applyFont="1" applyFill="1" applyAlignment="1">
      <alignment horizontal="right" vertical="center" wrapText="1"/>
    </xf>
    <xf numFmtId="0" fontId="3" fillId="2" borderId="0" xfId="0" applyFont="1" applyFill="1"/>
    <xf numFmtId="0" fontId="3" fillId="3" borderId="0" xfId="0" applyFont="1" applyFill="1"/>
    <xf numFmtId="164" fontId="3" fillId="2" borderId="0" xfId="0" applyNumberFormat="1" applyFont="1" applyFill="1"/>
    <xf numFmtId="4" fontId="1" fillId="5" borderId="0" xfId="0" applyNumberFormat="1" applyFont="1" applyFill="1"/>
    <xf numFmtId="4" fontId="1" fillId="0" borderId="0" xfId="0" applyNumberFormat="1" applyFont="1"/>
    <xf numFmtId="0" fontId="1" fillId="0" borderId="0" xfId="0" applyFont="1"/>
    <xf numFmtId="168" fontId="12" fillId="0" borderId="0" xfId="0" applyNumberFormat="1" applyFont="1" applyAlignment="1">
      <alignment horizontal="center" vertical="center" wrapText="1"/>
    </xf>
    <xf numFmtId="172" fontId="0" fillId="0" borderId="0" xfId="0" applyNumberFormat="1"/>
    <xf numFmtId="172" fontId="1" fillId="0" borderId="0" xfId="0" applyNumberFormat="1" applyFont="1"/>
    <xf numFmtId="4" fontId="0" fillId="4" borderId="0" xfId="0" applyNumberFormat="1" applyFill="1"/>
    <xf numFmtId="0" fontId="16" fillId="6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168" fontId="17" fillId="0" borderId="0" xfId="0" applyNumberFormat="1" applyFont="1" applyAlignment="1">
      <alignment horizontal="left" vertical="center" wrapText="1"/>
    </xf>
    <xf numFmtId="169" fontId="17" fillId="0" borderId="0" xfId="0" applyNumberFormat="1" applyFont="1" applyAlignment="1">
      <alignment horizontal="right" vertical="center" wrapText="1"/>
    </xf>
    <xf numFmtId="171" fontId="17" fillId="0" borderId="0" xfId="0" applyNumberFormat="1" applyFont="1" applyAlignment="1">
      <alignment horizontal="right" vertical="center" wrapText="1"/>
    </xf>
    <xf numFmtId="172" fontId="17" fillId="0" borderId="0" xfId="0" applyNumberFormat="1" applyFont="1" applyAlignment="1">
      <alignment horizontal="right" vertical="center" wrapText="1"/>
    </xf>
    <xf numFmtId="173" fontId="17" fillId="0" borderId="0" xfId="0" applyNumberFormat="1" applyFont="1" applyAlignment="1">
      <alignment horizontal="right" vertical="center" wrapText="1"/>
    </xf>
    <xf numFmtId="167" fontId="1" fillId="0" borderId="0" xfId="0" applyNumberFormat="1" applyFont="1"/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72" fontId="12" fillId="0" borderId="0" xfId="0" applyNumberFormat="1" applyFont="1" applyAlignment="1">
      <alignment horizontal="left" vertical="center" wrapText="1"/>
    </xf>
    <xf numFmtId="172" fontId="12" fillId="6" borderId="0" xfId="0" applyNumberFormat="1" applyFont="1" applyFill="1" applyAlignment="1">
      <alignment horizontal="left" vertical="center" wrapText="1"/>
    </xf>
    <xf numFmtId="0" fontId="13" fillId="6" borderId="0" xfId="0" applyFont="1" applyFill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172" fontId="12" fillId="0" borderId="0" xfId="0" applyNumberFormat="1" applyFont="1" applyAlignment="1">
      <alignment horizontal="right" vertical="center" wrapText="1"/>
    </xf>
    <xf numFmtId="171" fontId="12" fillId="0" borderId="0" xfId="0" applyNumberFormat="1" applyFont="1" applyAlignment="1">
      <alignment horizontal="right" vertical="center" wrapText="1"/>
    </xf>
    <xf numFmtId="0" fontId="12" fillId="6" borderId="0" xfId="0" applyFont="1" applyFill="1" applyAlignment="1">
      <alignment horizontal="left" vertical="center" wrapText="1"/>
    </xf>
    <xf numFmtId="172" fontId="12" fillId="6" borderId="0" xfId="0" applyNumberFormat="1" applyFont="1" applyFill="1" applyAlignment="1">
      <alignment horizontal="right" vertical="center" wrapText="1"/>
    </xf>
    <xf numFmtId="171" fontId="12" fillId="6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Normal 2" xfId="1" xr:uid="{7A163C8A-0FED-4F05-A3C1-F5E4900DC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635445</xdr:colOff>
      <xdr:row>27</xdr:row>
      <xdr:rowOff>171705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B3EA5B-0E55-CFAA-C1C7-2E1195B1D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649145" cy="4959605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35</xdr:row>
      <xdr:rowOff>0</xdr:rowOff>
    </xdr:from>
    <xdr:to>
      <xdr:col>11</xdr:col>
      <xdr:colOff>514786</xdr:colOff>
      <xdr:row>44</xdr:row>
      <xdr:rowOff>158843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34E8CE-B4E1-8689-7885-FF44D4C4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" y="6445250"/>
          <a:ext cx="8484036" cy="18161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12</xdr:col>
      <xdr:colOff>413229</xdr:colOff>
      <xdr:row>96</xdr:row>
      <xdr:rowOff>101747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907FEE-A938-CDE8-981B-0CE381F0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748000"/>
          <a:ext cx="9322279" cy="28639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7</xdr:col>
      <xdr:colOff>622602</xdr:colOff>
      <xdr:row>129</xdr:row>
      <xdr:rowOff>44623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A13A45-9FFA-EA19-1E41-912876C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558250"/>
          <a:ext cx="5874052" cy="3359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12</xdr:col>
      <xdr:colOff>121114</xdr:colOff>
      <xdr:row>148</xdr:row>
      <xdr:rowOff>101747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0AECB8-D5A7-ABFD-4132-A9B49FAC7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609550"/>
          <a:ext cx="9030164" cy="28639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114734</xdr:colOff>
      <xdr:row>20</xdr:row>
      <xdr:rowOff>6530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4744D-3122-49C0-8387-46FD5E16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445934" cy="350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13</xdr:col>
      <xdr:colOff>469</xdr:colOff>
      <xdr:row>75</xdr:row>
      <xdr:rowOff>50954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0A1DC-C326-4D6A-BDE7-EB4D0A571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96700"/>
          <a:ext cx="9125419" cy="2997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9</xdr:col>
      <xdr:colOff>6661</xdr:colOff>
      <xdr:row>113</xdr:row>
      <xdr:rowOff>19221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DC31CD-571D-43B6-9500-D8CA846E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11850"/>
          <a:ext cx="6045511" cy="3333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12</xdr:col>
      <xdr:colOff>591009</xdr:colOff>
      <xdr:row>131</xdr:row>
      <xdr:rowOff>165241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F6FE85-DE7E-48B7-8003-A4F07C45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663150"/>
          <a:ext cx="8922209" cy="27433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12</xdr:col>
      <xdr:colOff>133785</xdr:colOff>
      <xdr:row>175</xdr:row>
      <xdr:rowOff>158872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B34F94-96B3-48B8-B994-9FEBDB89D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610300"/>
          <a:ext cx="8464985" cy="236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A89A-C597-48B3-B953-114E39B8E8C1}">
  <dimension ref="A1:BU205"/>
  <sheetViews>
    <sheetView tabSelected="1" workbookViewId="0"/>
  </sheetViews>
  <sheetFormatPr defaultRowHeight="14.5"/>
  <cols>
    <col min="3" max="3" width="11.36328125" bestFit="1" customWidth="1"/>
    <col min="5" max="5" width="9.7265625" customWidth="1"/>
    <col min="6" max="6" width="19.1796875" bestFit="1" customWidth="1"/>
    <col min="8" max="8" width="11" customWidth="1"/>
    <col min="10" max="10" width="10" customWidth="1"/>
    <col min="11" max="11" width="9.81640625" customWidth="1"/>
    <col min="12" max="12" width="12.81640625" customWidth="1"/>
    <col min="13" max="13" width="37.26953125" bestFit="1" customWidth="1"/>
    <col min="15" max="15" width="13.6328125" customWidth="1"/>
    <col min="16" max="16" width="13.90625" customWidth="1"/>
    <col min="17" max="17" width="13.36328125" customWidth="1"/>
    <col min="20" max="20" width="12.36328125" customWidth="1"/>
    <col min="22" max="22" width="10.6328125" customWidth="1"/>
    <col min="25" max="25" width="13.90625" customWidth="1"/>
    <col min="26" max="26" width="11.90625" customWidth="1"/>
    <col min="27" max="27" width="15.6328125" customWidth="1"/>
    <col min="28" max="28" width="13.08984375" bestFit="1" customWidth="1"/>
    <col min="29" max="29" width="12.54296875" customWidth="1"/>
    <col min="32" max="32" width="10.1796875" customWidth="1"/>
    <col min="36" max="36" width="13.36328125" customWidth="1"/>
    <col min="37" max="37" width="11.54296875" customWidth="1"/>
    <col min="38" max="38" width="13.26953125" customWidth="1"/>
    <col min="39" max="39" width="11.81640625" customWidth="1"/>
    <col min="40" max="40" width="13.7265625" customWidth="1"/>
    <col min="41" max="41" width="11.81640625" customWidth="1"/>
  </cols>
  <sheetData>
    <row r="1" spans="1:1">
      <c r="A1" s="15" t="s">
        <v>0</v>
      </c>
    </row>
    <row r="30" spans="1:73">
      <c r="A30" t="s">
        <v>1</v>
      </c>
    </row>
    <row r="31" spans="1:73" s="37" customFormat="1" ht="12.5">
      <c r="A31" s="37" t="s">
        <v>2</v>
      </c>
      <c r="B31" s="37" t="s">
        <v>3</v>
      </c>
      <c r="C31" s="37" t="s">
        <v>4</v>
      </c>
      <c r="D31" s="37" t="s">
        <v>5</v>
      </c>
      <c r="E31" s="38" t="s">
        <v>6</v>
      </c>
      <c r="F31" s="37" t="s">
        <v>7</v>
      </c>
      <c r="G31" s="37" t="s">
        <v>8</v>
      </c>
      <c r="H31" s="37" t="s">
        <v>9</v>
      </c>
      <c r="I31" s="37" t="s">
        <v>10</v>
      </c>
      <c r="J31" s="37" t="s">
        <v>11</v>
      </c>
      <c r="K31" s="38" t="s">
        <v>12</v>
      </c>
      <c r="L31" s="37" t="s">
        <v>13</v>
      </c>
      <c r="M31" s="37" t="s">
        <v>14</v>
      </c>
      <c r="N31" s="37" t="s">
        <v>15</v>
      </c>
      <c r="O31" s="38" t="s">
        <v>16</v>
      </c>
      <c r="P31" s="38" t="s">
        <v>17</v>
      </c>
      <c r="Q31" s="38" t="s">
        <v>18</v>
      </c>
      <c r="R31" s="37" t="s">
        <v>19</v>
      </c>
      <c r="S31" s="38" t="s">
        <v>20</v>
      </c>
      <c r="T31" s="37" t="s">
        <v>21</v>
      </c>
      <c r="U31" s="37" t="s">
        <v>22</v>
      </c>
      <c r="V31" s="37" t="s">
        <v>23</v>
      </c>
      <c r="W31" s="37" t="s">
        <v>24</v>
      </c>
      <c r="X31" s="37" t="s">
        <v>25</v>
      </c>
      <c r="Y31" s="37" t="s">
        <v>26</v>
      </c>
      <c r="Z31" s="37" t="s">
        <v>27</v>
      </c>
      <c r="AA31" s="37" t="s">
        <v>28</v>
      </c>
      <c r="AB31" s="37" t="s">
        <v>29</v>
      </c>
      <c r="AC31" s="38" t="s">
        <v>30</v>
      </c>
      <c r="AD31" s="38" t="s">
        <v>31</v>
      </c>
      <c r="AE31" s="38" t="s">
        <v>32</v>
      </c>
      <c r="AF31" s="38" t="s">
        <v>33</v>
      </c>
      <c r="AG31" s="38" t="s">
        <v>34</v>
      </c>
      <c r="AH31" s="37" t="s">
        <v>35</v>
      </c>
      <c r="AI31" s="37" t="s">
        <v>36</v>
      </c>
      <c r="AJ31" s="37" t="s">
        <v>37</v>
      </c>
      <c r="AK31" s="37" t="s">
        <v>38</v>
      </c>
      <c r="AL31" s="37" t="s">
        <v>39</v>
      </c>
      <c r="AM31" s="39" t="s">
        <v>40</v>
      </c>
      <c r="AN31" s="37" t="s">
        <v>41</v>
      </c>
      <c r="AO31" s="37" t="s">
        <v>42</v>
      </c>
      <c r="AP31" s="37" t="s">
        <v>43</v>
      </c>
      <c r="AQ31" s="37" t="s">
        <v>44</v>
      </c>
      <c r="AR31" s="37" t="s">
        <v>45</v>
      </c>
      <c r="AS31" s="37" t="s">
        <v>46</v>
      </c>
      <c r="AT31" s="38" t="s">
        <v>47</v>
      </c>
      <c r="AU31" s="37" t="s">
        <v>48</v>
      </c>
      <c r="AV31" s="37" t="s">
        <v>49</v>
      </c>
      <c r="AW31" s="37" t="s">
        <v>50</v>
      </c>
      <c r="AX31" s="37" t="s">
        <v>51</v>
      </c>
      <c r="AY31" s="37" t="s">
        <v>52</v>
      </c>
      <c r="AZ31" s="38" t="s">
        <v>53</v>
      </c>
      <c r="BA31" s="37" t="s">
        <v>54</v>
      </c>
      <c r="BB31" s="37" t="s">
        <v>55</v>
      </c>
      <c r="BC31" s="37" t="s">
        <v>56</v>
      </c>
      <c r="BD31" s="37" t="s">
        <v>57</v>
      </c>
      <c r="BE31" s="37" t="s">
        <v>58</v>
      </c>
      <c r="BF31" s="37" t="s">
        <v>59</v>
      </c>
      <c r="BG31" s="37" t="s">
        <v>60</v>
      </c>
      <c r="BH31" s="37" t="s">
        <v>61</v>
      </c>
      <c r="BI31" s="37" t="s">
        <v>62</v>
      </c>
      <c r="BJ31" s="37" t="s">
        <v>63</v>
      </c>
      <c r="BK31" s="37" t="s">
        <v>64</v>
      </c>
      <c r="BL31" s="37" t="s">
        <v>65</v>
      </c>
      <c r="BM31" s="37" t="s">
        <v>66</v>
      </c>
      <c r="BN31" s="37" t="s">
        <v>67</v>
      </c>
      <c r="BO31" s="37" t="s">
        <v>68</v>
      </c>
      <c r="BP31" s="37" t="s">
        <v>69</v>
      </c>
      <c r="BQ31" s="37" t="s">
        <v>70</v>
      </c>
      <c r="BR31" s="37" t="s">
        <v>71</v>
      </c>
      <c r="BS31" s="37" t="s">
        <v>72</v>
      </c>
      <c r="BT31" s="37" t="s">
        <v>73</v>
      </c>
      <c r="BU31" s="37" t="s">
        <v>74</v>
      </c>
    </row>
    <row r="32" spans="1:73" s="2" customFormat="1" ht="15.5">
      <c r="A32" s="1" t="s">
        <v>75</v>
      </c>
      <c r="B32" s="2" t="s">
        <v>76</v>
      </c>
      <c r="C32" s="2" t="s">
        <v>77</v>
      </c>
      <c r="D32" s="2">
        <v>31</v>
      </c>
      <c r="E32" s="3" t="s">
        <v>215</v>
      </c>
      <c r="G32" s="2" t="s">
        <v>78</v>
      </c>
      <c r="H32" s="2" t="s">
        <v>79</v>
      </c>
      <c r="I32" s="2" t="s">
        <v>80</v>
      </c>
      <c r="J32" s="2" t="s">
        <v>81</v>
      </c>
      <c r="K32" s="4" t="s">
        <v>82</v>
      </c>
      <c r="L32" s="4"/>
      <c r="M32" s="5"/>
      <c r="N32" s="6"/>
      <c r="O32" s="4">
        <v>456</v>
      </c>
      <c r="P32" s="4">
        <v>7889</v>
      </c>
      <c r="Q32" s="7">
        <v>4567.8900000000003</v>
      </c>
      <c r="R32" s="1">
        <f>O32*Q32</f>
        <v>2082957.84</v>
      </c>
      <c r="S32" s="6">
        <v>1.23456E-2</v>
      </c>
      <c r="T32" s="1">
        <f>R32*S32</f>
        <v>25715.364309504002</v>
      </c>
      <c r="U32" s="8">
        <v>0</v>
      </c>
      <c r="V32" s="8">
        <v>0</v>
      </c>
      <c r="W32" s="1">
        <f>R32+AT32</f>
        <v>2088425.62</v>
      </c>
      <c r="X32" s="1">
        <f>W32*S32</f>
        <v>25782.867334272003</v>
      </c>
      <c r="Y32" s="2" t="s">
        <v>77</v>
      </c>
      <c r="Z32" s="2" t="s">
        <v>83</v>
      </c>
      <c r="AA32" s="2" t="s">
        <v>84</v>
      </c>
      <c r="AB32" s="2" t="s">
        <v>85</v>
      </c>
      <c r="AC32" s="4" t="s">
        <v>86</v>
      </c>
      <c r="AD32" s="9">
        <v>45627</v>
      </c>
      <c r="AE32" s="9">
        <v>45627</v>
      </c>
      <c r="AF32" s="9">
        <v>45627</v>
      </c>
      <c r="AG32" s="10">
        <v>45735</v>
      </c>
      <c r="AH32" s="2" t="s">
        <v>87</v>
      </c>
      <c r="AI32" s="2" t="s">
        <v>88</v>
      </c>
      <c r="AJ32" s="2">
        <v>1.23456E-2</v>
      </c>
      <c r="AK32" s="1"/>
      <c r="AM32" s="9"/>
      <c r="AN32" s="8">
        <v>0</v>
      </c>
      <c r="AO32" s="8">
        <v>0</v>
      </c>
      <c r="AR32" s="2" t="s">
        <v>89</v>
      </c>
      <c r="AS32" s="2" t="s">
        <v>78</v>
      </c>
      <c r="AT32" s="5">
        <v>5467.78</v>
      </c>
      <c r="AU32" s="5">
        <v>5467.78</v>
      </c>
      <c r="AV32" s="8">
        <v>1.23456E-2</v>
      </c>
      <c r="AW32" s="8">
        <v>0</v>
      </c>
      <c r="AX32" s="2" t="s">
        <v>90</v>
      </c>
      <c r="AY32" s="2" t="s">
        <v>78</v>
      </c>
      <c r="AZ32" s="4">
        <v>3454.67</v>
      </c>
      <c r="BA32" s="4">
        <v>3454.67</v>
      </c>
      <c r="BB32" s="8">
        <v>1.23456E-2</v>
      </c>
      <c r="BC32" s="2">
        <v>0</v>
      </c>
      <c r="BF32" s="8">
        <v>0</v>
      </c>
      <c r="BG32" s="8">
        <v>0</v>
      </c>
      <c r="BH32" s="8">
        <v>0</v>
      </c>
      <c r="BI32" s="8">
        <v>0</v>
      </c>
      <c r="BL32" s="8">
        <v>0</v>
      </c>
      <c r="BM32" s="8">
        <v>0</v>
      </c>
      <c r="BN32" s="8">
        <v>0</v>
      </c>
      <c r="BO32" s="8">
        <v>0</v>
      </c>
      <c r="BR32" s="8">
        <v>0</v>
      </c>
      <c r="BS32" s="8">
        <v>0</v>
      </c>
      <c r="BT32" s="8">
        <v>0</v>
      </c>
      <c r="BU32" s="8">
        <v>0</v>
      </c>
    </row>
    <row r="33" spans="1:73" s="2" customFormat="1" ht="15.5">
      <c r="A33" s="1" t="s">
        <v>75</v>
      </c>
      <c r="B33" s="2" t="s">
        <v>76</v>
      </c>
      <c r="C33" s="2" t="s">
        <v>77</v>
      </c>
      <c r="D33" s="2">
        <v>31</v>
      </c>
      <c r="E33" s="3" t="s">
        <v>215</v>
      </c>
      <c r="G33" s="2" t="s">
        <v>78</v>
      </c>
      <c r="H33" s="2" t="s">
        <v>79</v>
      </c>
      <c r="I33" s="2" t="s">
        <v>80</v>
      </c>
      <c r="J33" s="2" t="s">
        <v>81</v>
      </c>
      <c r="K33" s="4" t="s">
        <v>82</v>
      </c>
      <c r="L33" s="4"/>
      <c r="M33" s="5"/>
      <c r="N33" s="6"/>
      <c r="O33" s="4">
        <v>5678</v>
      </c>
      <c r="P33" s="4">
        <v>7889</v>
      </c>
      <c r="Q33" s="7">
        <v>6722.89</v>
      </c>
      <c r="R33" s="1">
        <f>O33*Q33</f>
        <v>38172569.420000002</v>
      </c>
      <c r="S33" s="6">
        <v>1.23456E-2</v>
      </c>
      <c r="T33" s="1">
        <f>R33*S33</f>
        <v>471263.27303155203</v>
      </c>
      <c r="U33" s="8">
        <v>0</v>
      </c>
      <c r="V33" s="8">
        <v>0</v>
      </c>
      <c r="W33" s="1">
        <f>R33+AT33</f>
        <v>38173562.200000003</v>
      </c>
      <c r="X33" s="1">
        <f>W33*S33</f>
        <v>471275.52949632006</v>
      </c>
      <c r="Y33" s="2" t="s">
        <v>77</v>
      </c>
      <c r="Z33" s="2" t="s">
        <v>83</v>
      </c>
      <c r="AA33" s="2" t="s">
        <v>84</v>
      </c>
      <c r="AB33" s="2" t="s">
        <v>85</v>
      </c>
      <c r="AC33" s="4" t="s">
        <v>86</v>
      </c>
      <c r="AD33" s="9">
        <v>45627</v>
      </c>
      <c r="AE33" s="9">
        <v>45627</v>
      </c>
      <c r="AF33" s="9">
        <v>45628</v>
      </c>
      <c r="AG33" s="10">
        <v>45735</v>
      </c>
      <c r="AH33" s="2" t="s">
        <v>87</v>
      </c>
      <c r="AI33" s="2" t="s">
        <v>88</v>
      </c>
      <c r="AJ33" s="2">
        <v>1.23456E-2</v>
      </c>
      <c r="AK33" s="1"/>
      <c r="AM33" s="9"/>
      <c r="AN33" s="8">
        <v>0</v>
      </c>
      <c r="AO33" s="8">
        <v>0</v>
      </c>
      <c r="AR33" s="2" t="s">
        <v>89</v>
      </c>
      <c r="AS33" s="2" t="s">
        <v>78</v>
      </c>
      <c r="AT33" s="5">
        <v>992.78</v>
      </c>
      <c r="AU33" s="5">
        <v>992.78</v>
      </c>
      <c r="AV33" s="8">
        <v>1.23456E-2</v>
      </c>
      <c r="AW33" s="8">
        <v>0</v>
      </c>
      <c r="AX33" s="2" t="s">
        <v>90</v>
      </c>
      <c r="AY33" s="2" t="s">
        <v>78</v>
      </c>
      <c r="AZ33" s="4">
        <v>1344.67</v>
      </c>
      <c r="BA33" s="4">
        <v>1344.67</v>
      </c>
      <c r="BB33" s="8">
        <v>1.23456E-2</v>
      </c>
      <c r="BC33" s="2">
        <v>0</v>
      </c>
      <c r="BF33" s="8">
        <v>0</v>
      </c>
      <c r="BG33" s="8">
        <v>0</v>
      </c>
      <c r="BH33" s="8">
        <v>0</v>
      </c>
      <c r="BI33" s="8">
        <v>0</v>
      </c>
      <c r="BL33" s="8">
        <v>0</v>
      </c>
      <c r="BM33" s="8">
        <v>0</v>
      </c>
      <c r="BN33" s="8">
        <v>0</v>
      </c>
      <c r="BO33" s="8">
        <v>0</v>
      </c>
      <c r="BR33" s="8">
        <v>0</v>
      </c>
      <c r="BS33" s="8">
        <v>0</v>
      </c>
      <c r="BT33" s="8">
        <v>0</v>
      </c>
      <c r="BU33" s="8">
        <v>0</v>
      </c>
    </row>
    <row r="38" spans="1:73">
      <c r="V38" s="13"/>
    </row>
    <row r="50" spans="1:30">
      <c r="A50" s="14" t="s">
        <v>149</v>
      </c>
    </row>
    <row r="51" spans="1:30">
      <c r="A51" s="11" t="s">
        <v>91</v>
      </c>
      <c r="B51" s="11" t="s">
        <v>92</v>
      </c>
      <c r="C51" s="11" t="s">
        <v>93</v>
      </c>
      <c r="D51" s="11" t="s">
        <v>94</v>
      </c>
      <c r="E51" s="11" t="s">
        <v>95</v>
      </c>
      <c r="F51" s="11" t="s">
        <v>96</v>
      </c>
      <c r="G51" s="11" t="s">
        <v>97</v>
      </c>
      <c r="H51" s="11" t="s">
        <v>98</v>
      </c>
      <c r="I51" s="11" t="s">
        <v>99</v>
      </c>
      <c r="J51" s="11" t="s">
        <v>100</v>
      </c>
      <c r="K51" s="11" t="s">
        <v>101</v>
      </c>
      <c r="L51" s="11" t="s">
        <v>102</v>
      </c>
      <c r="M51" s="11" t="s">
        <v>103</v>
      </c>
      <c r="N51" s="11" t="s">
        <v>104</v>
      </c>
      <c r="O51" s="11" t="s">
        <v>105</v>
      </c>
      <c r="P51" s="11" t="s">
        <v>106</v>
      </c>
      <c r="Q51" s="11" t="s">
        <v>107</v>
      </c>
      <c r="R51" s="11" t="s">
        <v>108</v>
      </c>
      <c r="S51" s="11" t="s">
        <v>109</v>
      </c>
      <c r="T51" s="11" t="s">
        <v>110</v>
      </c>
      <c r="U51" s="11" t="s">
        <v>0</v>
      </c>
      <c r="V51" s="11" t="s">
        <v>111</v>
      </c>
      <c r="W51" s="11" t="s">
        <v>112</v>
      </c>
      <c r="X51" s="11" t="s">
        <v>113</v>
      </c>
      <c r="Y51" s="11" t="s">
        <v>114</v>
      </c>
      <c r="Z51" s="11" t="s">
        <v>115</v>
      </c>
      <c r="AA51" s="11" t="s">
        <v>116</v>
      </c>
      <c r="AB51" s="11" t="s">
        <v>117</v>
      </c>
      <c r="AC51" s="11" t="s">
        <v>118</v>
      </c>
      <c r="AD51" s="11" t="s">
        <v>119</v>
      </c>
    </row>
    <row r="52" spans="1:30">
      <c r="A52" t="s">
        <v>75</v>
      </c>
      <c r="B52" t="s">
        <v>120</v>
      </c>
      <c r="C52" t="s">
        <v>216</v>
      </c>
      <c r="D52" t="s">
        <v>216</v>
      </c>
      <c r="E52" t="s">
        <v>217</v>
      </c>
      <c r="F52" t="s">
        <v>218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124</v>
      </c>
      <c r="N52" t="s">
        <v>78</v>
      </c>
      <c r="O52" t="s">
        <v>127</v>
      </c>
      <c r="P52" s="12">
        <v>1344.67</v>
      </c>
      <c r="Q52" s="12">
        <v>16.600000000000001</v>
      </c>
      <c r="R52">
        <v>1.23456E-2</v>
      </c>
      <c r="S52" t="s">
        <v>128</v>
      </c>
      <c r="T52" t="s">
        <v>120</v>
      </c>
      <c r="U52" t="s">
        <v>215</v>
      </c>
      <c r="V52" t="s">
        <v>80</v>
      </c>
      <c r="W52" t="s">
        <v>86</v>
      </c>
      <c r="X52" t="s">
        <v>77</v>
      </c>
      <c r="Y52" t="s">
        <v>120</v>
      </c>
      <c r="Z52" t="s">
        <v>219</v>
      </c>
      <c r="AA52" t="s">
        <v>129</v>
      </c>
      <c r="AB52" t="s">
        <v>129</v>
      </c>
      <c r="AC52" t="s">
        <v>79</v>
      </c>
      <c r="AD52" t="s">
        <v>220</v>
      </c>
    </row>
    <row r="53" spans="1:30">
      <c r="A53" t="s">
        <v>75</v>
      </c>
      <c r="B53" t="s">
        <v>120</v>
      </c>
      <c r="C53" t="s">
        <v>216</v>
      </c>
      <c r="D53" t="s">
        <v>216</v>
      </c>
      <c r="E53" t="s">
        <v>221</v>
      </c>
      <c r="F53" t="s">
        <v>218</v>
      </c>
      <c r="G53" t="s">
        <v>121</v>
      </c>
      <c r="H53" t="s">
        <v>130</v>
      </c>
      <c r="I53" t="s">
        <v>131</v>
      </c>
      <c r="J53" t="s">
        <v>132</v>
      </c>
      <c r="K53" t="s">
        <v>133</v>
      </c>
      <c r="L53" t="s">
        <v>134</v>
      </c>
      <c r="M53" t="s">
        <v>132</v>
      </c>
      <c r="N53" t="s">
        <v>78</v>
      </c>
      <c r="O53" t="s">
        <v>135</v>
      </c>
      <c r="P53" s="12">
        <v>-1344.67</v>
      </c>
      <c r="Q53" s="12">
        <v>-16.600000000000001</v>
      </c>
      <c r="R53">
        <v>1.23456E-2</v>
      </c>
      <c r="S53" t="s">
        <v>128</v>
      </c>
      <c r="T53" t="s">
        <v>120</v>
      </c>
      <c r="U53" t="s">
        <v>215</v>
      </c>
      <c r="V53" t="s">
        <v>80</v>
      </c>
      <c r="W53" t="s">
        <v>86</v>
      </c>
      <c r="X53" t="s">
        <v>77</v>
      </c>
      <c r="Y53" t="s">
        <v>120</v>
      </c>
      <c r="Z53" t="s">
        <v>222</v>
      </c>
      <c r="AA53" t="s">
        <v>129</v>
      </c>
      <c r="AB53" t="s">
        <v>129</v>
      </c>
      <c r="AC53" t="s">
        <v>79</v>
      </c>
      <c r="AD53" t="s">
        <v>220</v>
      </c>
    </row>
    <row r="54" spans="1:30">
      <c r="A54" t="s">
        <v>75</v>
      </c>
      <c r="B54" t="s">
        <v>120</v>
      </c>
      <c r="C54" t="s">
        <v>216</v>
      </c>
      <c r="D54" t="s">
        <v>216</v>
      </c>
      <c r="E54" t="s">
        <v>223</v>
      </c>
      <c r="F54" t="s">
        <v>218</v>
      </c>
      <c r="G54" t="s">
        <v>121</v>
      </c>
      <c r="H54" t="s">
        <v>122</v>
      </c>
      <c r="I54" t="s">
        <v>224</v>
      </c>
      <c r="J54" t="s">
        <v>225</v>
      </c>
      <c r="K54" t="s">
        <v>226</v>
      </c>
      <c r="L54" t="s">
        <v>227</v>
      </c>
      <c r="M54" t="s">
        <v>225</v>
      </c>
      <c r="N54" t="s">
        <v>78</v>
      </c>
      <c r="O54" t="s">
        <v>127</v>
      </c>
      <c r="P54" s="12">
        <v>992.78</v>
      </c>
      <c r="Q54" s="12">
        <v>12.26</v>
      </c>
      <c r="R54">
        <v>1.23456E-2</v>
      </c>
      <c r="S54" t="s">
        <v>128</v>
      </c>
      <c r="T54" t="s">
        <v>120</v>
      </c>
      <c r="U54" t="s">
        <v>215</v>
      </c>
      <c r="V54" t="s">
        <v>80</v>
      </c>
      <c r="W54" t="s">
        <v>86</v>
      </c>
      <c r="X54" t="s">
        <v>77</v>
      </c>
      <c r="Y54" t="s">
        <v>120</v>
      </c>
      <c r="Z54" t="s">
        <v>228</v>
      </c>
      <c r="AA54" t="s">
        <v>129</v>
      </c>
      <c r="AB54" t="s">
        <v>129</v>
      </c>
      <c r="AC54" t="s">
        <v>79</v>
      </c>
      <c r="AD54" t="s">
        <v>220</v>
      </c>
    </row>
    <row r="55" spans="1:30">
      <c r="A55" t="s">
        <v>75</v>
      </c>
      <c r="B55" t="s">
        <v>120</v>
      </c>
      <c r="C55" t="s">
        <v>216</v>
      </c>
      <c r="D55" t="s">
        <v>216</v>
      </c>
      <c r="E55" t="s">
        <v>229</v>
      </c>
      <c r="F55" t="s">
        <v>218</v>
      </c>
      <c r="G55" t="s">
        <v>121</v>
      </c>
      <c r="H55" t="s">
        <v>130</v>
      </c>
      <c r="I55" t="s">
        <v>230</v>
      </c>
      <c r="J55" t="s">
        <v>231</v>
      </c>
      <c r="K55" t="s">
        <v>232</v>
      </c>
      <c r="L55" t="s">
        <v>233</v>
      </c>
      <c r="M55" t="s">
        <v>231</v>
      </c>
      <c r="N55" t="s">
        <v>78</v>
      </c>
      <c r="O55" t="s">
        <v>135</v>
      </c>
      <c r="P55" s="12">
        <v>-992.78</v>
      </c>
      <c r="Q55" s="12">
        <v>-12.26</v>
      </c>
      <c r="R55">
        <v>1.23456E-2</v>
      </c>
      <c r="S55" t="s">
        <v>128</v>
      </c>
      <c r="T55" t="s">
        <v>120</v>
      </c>
      <c r="U55" t="s">
        <v>215</v>
      </c>
      <c r="V55" t="s">
        <v>80</v>
      </c>
      <c r="W55" t="s">
        <v>86</v>
      </c>
      <c r="X55" t="s">
        <v>77</v>
      </c>
      <c r="Y55" t="s">
        <v>120</v>
      </c>
      <c r="Z55" t="s">
        <v>234</v>
      </c>
      <c r="AA55" t="s">
        <v>129</v>
      </c>
      <c r="AB55" t="s">
        <v>129</v>
      </c>
      <c r="AC55" t="s">
        <v>79</v>
      </c>
      <c r="AD55" t="s">
        <v>220</v>
      </c>
    </row>
    <row r="56" spans="1:30">
      <c r="A56" t="s">
        <v>75</v>
      </c>
      <c r="B56" t="s">
        <v>120</v>
      </c>
      <c r="C56" t="s">
        <v>216</v>
      </c>
      <c r="D56" t="s">
        <v>216</v>
      </c>
      <c r="E56" t="s">
        <v>235</v>
      </c>
      <c r="F56" t="s">
        <v>218</v>
      </c>
      <c r="G56" t="s">
        <v>121</v>
      </c>
      <c r="H56" t="s">
        <v>122</v>
      </c>
      <c r="I56" t="s">
        <v>136</v>
      </c>
      <c r="J56" t="s">
        <v>137</v>
      </c>
      <c r="K56" t="s">
        <v>138</v>
      </c>
      <c r="L56" t="s">
        <v>139</v>
      </c>
      <c r="M56" t="s">
        <v>137</v>
      </c>
      <c r="N56" t="s">
        <v>78</v>
      </c>
      <c r="O56" t="s">
        <v>127</v>
      </c>
      <c r="P56" s="12">
        <v>38172569.420000002</v>
      </c>
      <c r="Q56" s="12">
        <v>471263.27</v>
      </c>
      <c r="R56">
        <v>1.23456E-2</v>
      </c>
      <c r="S56" t="s">
        <v>128</v>
      </c>
      <c r="T56" t="s">
        <v>120</v>
      </c>
      <c r="U56" t="s">
        <v>215</v>
      </c>
      <c r="V56" t="s">
        <v>80</v>
      </c>
      <c r="W56" t="s">
        <v>86</v>
      </c>
      <c r="X56" t="s">
        <v>77</v>
      </c>
      <c r="Y56" t="s">
        <v>120</v>
      </c>
      <c r="Z56" t="s">
        <v>236</v>
      </c>
      <c r="AA56" t="s">
        <v>129</v>
      </c>
      <c r="AB56" t="s">
        <v>129</v>
      </c>
      <c r="AC56" t="s">
        <v>79</v>
      </c>
      <c r="AD56" t="s">
        <v>220</v>
      </c>
    </row>
    <row r="57" spans="1:30">
      <c r="A57" t="s">
        <v>75</v>
      </c>
      <c r="B57" t="s">
        <v>120</v>
      </c>
      <c r="C57" t="s">
        <v>216</v>
      </c>
      <c r="D57" t="s">
        <v>216</v>
      </c>
      <c r="E57" t="s">
        <v>237</v>
      </c>
      <c r="F57" t="s">
        <v>218</v>
      </c>
      <c r="G57" t="s">
        <v>121</v>
      </c>
      <c r="H57" t="s">
        <v>140</v>
      </c>
      <c r="I57" t="s">
        <v>141</v>
      </c>
      <c r="J57" t="s">
        <v>142</v>
      </c>
      <c r="K57" t="s">
        <v>143</v>
      </c>
      <c r="L57" t="s">
        <v>144</v>
      </c>
      <c r="M57" t="s">
        <v>142</v>
      </c>
      <c r="N57" t="s">
        <v>78</v>
      </c>
      <c r="O57" t="s">
        <v>135</v>
      </c>
      <c r="P57" s="12">
        <v>-38172569.420000002</v>
      </c>
      <c r="Q57" s="12">
        <v>-471263.27</v>
      </c>
      <c r="R57">
        <v>1.23456E-2</v>
      </c>
      <c r="S57" t="s">
        <v>128</v>
      </c>
      <c r="T57" t="s">
        <v>120</v>
      </c>
      <c r="U57" t="s">
        <v>215</v>
      </c>
      <c r="V57" t="s">
        <v>80</v>
      </c>
      <c r="W57" t="s">
        <v>86</v>
      </c>
      <c r="X57" t="s">
        <v>77</v>
      </c>
      <c r="Y57" t="s">
        <v>120</v>
      </c>
      <c r="Z57" t="s">
        <v>238</v>
      </c>
      <c r="AA57" t="s">
        <v>129</v>
      </c>
      <c r="AB57" t="s">
        <v>129</v>
      </c>
      <c r="AC57" t="s">
        <v>79</v>
      </c>
      <c r="AD57" t="s">
        <v>220</v>
      </c>
    </row>
    <row r="58" spans="1:30">
      <c r="A58" t="s">
        <v>75</v>
      </c>
      <c r="B58" t="s">
        <v>120</v>
      </c>
      <c r="C58" t="s">
        <v>216</v>
      </c>
      <c r="D58" t="s">
        <v>216</v>
      </c>
      <c r="E58" t="s">
        <v>239</v>
      </c>
      <c r="F58" t="s">
        <v>240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124</v>
      </c>
      <c r="N58" t="s">
        <v>78</v>
      </c>
      <c r="O58" t="s">
        <v>127</v>
      </c>
      <c r="P58" s="12">
        <v>3454.67</v>
      </c>
      <c r="Q58" s="12">
        <v>42.65</v>
      </c>
      <c r="R58">
        <v>1.23456E-2</v>
      </c>
      <c r="S58" t="s">
        <v>128</v>
      </c>
      <c r="T58" t="s">
        <v>120</v>
      </c>
      <c r="U58" t="s">
        <v>215</v>
      </c>
      <c r="V58" t="s">
        <v>80</v>
      </c>
      <c r="W58" t="s">
        <v>86</v>
      </c>
      <c r="X58" t="s">
        <v>77</v>
      </c>
      <c r="Y58" t="s">
        <v>120</v>
      </c>
      <c r="Z58" t="s">
        <v>241</v>
      </c>
      <c r="AA58" t="s">
        <v>129</v>
      </c>
      <c r="AB58" t="s">
        <v>129</v>
      </c>
      <c r="AC58" t="s">
        <v>79</v>
      </c>
      <c r="AD58" t="s">
        <v>242</v>
      </c>
    </row>
    <row r="59" spans="1:30">
      <c r="A59" t="s">
        <v>75</v>
      </c>
      <c r="B59" t="s">
        <v>120</v>
      </c>
      <c r="C59" t="s">
        <v>216</v>
      </c>
      <c r="D59" t="s">
        <v>216</v>
      </c>
      <c r="E59" t="s">
        <v>243</v>
      </c>
      <c r="F59" t="s">
        <v>240</v>
      </c>
      <c r="G59" t="s">
        <v>121</v>
      </c>
      <c r="H59" t="s">
        <v>130</v>
      </c>
      <c r="I59" t="s">
        <v>131</v>
      </c>
      <c r="J59" t="s">
        <v>132</v>
      </c>
      <c r="K59" t="s">
        <v>133</v>
      </c>
      <c r="L59" t="s">
        <v>134</v>
      </c>
      <c r="M59" t="s">
        <v>132</v>
      </c>
      <c r="N59" t="s">
        <v>78</v>
      </c>
      <c r="O59" t="s">
        <v>135</v>
      </c>
      <c r="P59" s="12">
        <v>-3454.67</v>
      </c>
      <c r="Q59" s="12">
        <v>-42.65</v>
      </c>
      <c r="R59">
        <v>1.23456E-2</v>
      </c>
      <c r="S59" t="s">
        <v>128</v>
      </c>
      <c r="T59" t="s">
        <v>120</v>
      </c>
      <c r="U59" t="s">
        <v>215</v>
      </c>
      <c r="V59" t="s">
        <v>80</v>
      </c>
      <c r="W59" t="s">
        <v>86</v>
      </c>
      <c r="X59" t="s">
        <v>77</v>
      </c>
      <c r="Y59" t="s">
        <v>120</v>
      </c>
      <c r="Z59" t="s">
        <v>244</v>
      </c>
      <c r="AA59" t="s">
        <v>129</v>
      </c>
      <c r="AB59" t="s">
        <v>129</v>
      </c>
      <c r="AC59" t="s">
        <v>79</v>
      </c>
      <c r="AD59" t="s">
        <v>242</v>
      </c>
    </row>
    <row r="60" spans="1:30">
      <c r="A60" t="s">
        <v>75</v>
      </c>
      <c r="B60" t="s">
        <v>120</v>
      </c>
      <c r="C60" t="s">
        <v>216</v>
      </c>
      <c r="D60" t="s">
        <v>216</v>
      </c>
      <c r="E60" t="s">
        <v>245</v>
      </c>
      <c r="F60" t="s">
        <v>240</v>
      </c>
      <c r="G60" t="s">
        <v>121</v>
      </c>
      <c r="H60" t="s">
        <v>122</v>
      </c>
      <c r="I60" t="s">
        <v>224</v>
      </c>
      <c r="J60" t="s">
        <v>225</v>
      </c>
      <c r="K60" t="s">
        <v>226</v>
      </c>
      <c r="L60" t="s">
        <v>227</v>
      </c>
      <c r="M60" t="s">
        <v>225</v>
      </c>
      <c r="N60" t="s">
        <v>78</v>
      </c>
      <c r="O60" t="s">
        <v>127</v>
      </c>
      <c r="P60" s="12">
        <v>5467.78</v>
      </c>
      <c r="Q60" s="12">
        <v>67.5</v>
      </c>
      <c r="R60">
        <v>1.23456E-2</v>
      </c>
      <c r="S60" t="s">
        <v>128</v>
      </c>
      <c r="T60" t="s">
        <v>120</v>
      </c>
      <c r="U60" t="s">
        <v>215</v>
      </c>
      <c r="V60" t="s">
        <v>80</v>
      </c>
      <c r="W60" t="s">
        <v>86</v>
      </c>
      <c r="X60" t="s">
        <v>77</v>
      </c>
      <c r="Y60" t="s">
        <v>120</v>
      </c>
      <c r="Z60" t="s">
        <v>246</v>
      </c>
      <c r="AA60" t="s">
        <v>129</v>
      </c>
      <c r="AB60" t="s">
        <v>129</v>
      </c>
      <c r="AC60" t="s">
        <v>79</v>
      </c>
      <c r="AD60" t="s">
        <v>242</v>
      </c>
    </row>
    <row r="61" spans="1:30">
      <c r="A61" t="s">
        <v>75</v>
      </c>
      <c r="B61" t="s">
        <v>120</v>
      </c>
      <c r="C61" t="s">
        <v>216</v>
      </c>
      <c r="D61" t="s">
        <v>216</v>
      </c>
      <c r="E61" t="s">
        <v>247</v>
      </c>
      <c r="F61" t="s">
        <v>240</v>
      </c>
      <c r="G61" t="s">
        <v>121</v>
      </c>
      <c r="H61" t="s">
        <v>130</v>
      </c>
      <c r="I61" t="s">
        <v>230</v>
      </c>
      <c r="J61" t="s">
        <v>231</v>
      </c>
      <c r="K61" t="s">
        <v>232</v>
      </c>
      <c r="L61" t="s">
        <v>233</v>
      </c>
      <c r="M61" t="s">
        <v>231</v>
      </c>
      <c r="N61" t="s">
        <v>78</v>
      </c>
      <c r="O61" t="s">
        <v>135</v>
      </c>
      <c r="P61" s="12">
        <v>-5467.78</v>
      </c>
      <c r="Q61" s="12">
        <v>-67.5</v>
      </c>
      <c r="R61">
        <v>1.23456E-2</v>
      </c>
      <c r="S61" t="s">
        <v>128</v>
      </c>
      <c r="U61" t="s">
        <v>215</v>
      </c>
      <c r="V61" t="s">
        <v>80</v>
      </c>
      <c r="W61" t="s">
        <v>86</v>
      </c>
      <c r="X61" t="s">
        <v>77</v>
      </c>
      <c r="Y61" t="s">
        <v>120</v>
      </c>
      <c r="Z61" t="s">
        <v>248</v>
      </c>
      <c r="AA61" t="s">
        <v>129</v>
      </c>
      <c r="AB61" t="s">
        <v>129</v>
      </c>
      <c r="AC61" t="s">
        <v>79</v>
      </c>
      <c r="AD61" t="s">
        <v>242</v>
      </c>
    </row>
    <row r="62" spans="1:30">
      <c r="A62" t="s">
        <v>75</v>
      </c>
      <c r="B62" t="s">
        <v>120</v>
      </c>
      <c r="C62" t="s">
        <v>216</v>
      </c>
      <c r="D62" t="s">
        <v>216</v>
      </c>
      <c r="E62" t="s">
        <v>249</v>
      </c>
      <c r="F62" t="s">
        <v>240</v>
      </c>
      <c r="G62" t="s">
        <v>121</v>
      </c>
      <c r="H62" t="s">
        <v>140</v>
      </c>
      <c r="I62" t="s">
        <v>145</v>
      </c>
      <c r="J62" t="s">
        <v>146</v>
      </c>
      <c r="K62" t="s">
        <v>147</v>
      </c>
      <c r="L62" t="s">
        <v>148</v>
      </c>
      <c r="M62" t="s">
        <v>146</v>
      </c>
      <c r="N62" t="s">
        <v>78</v>
      </c>
      <c r="O62" t="s">
        <v>127</v>
      </c>
      <c r="P62" s="12">
        <v>2082957.84</v>
      </c>
      <c r="Q62" s="12">
        <v>25715.360000000001</v>
      </c>
      <c r="R62">
        <v>1.23456E-2</v>
      </c>
      <c r="S62" t="s">
        <v>128</v>
      </c>
      <c r="T62" t="s">
        <v>120</v>
      </c>
      <c r="U62" t="s">
        <v>215</v>
      </c>
      <c r="V62" t="s">
        <v>80</v>
      </c>
      <c r="W62" t="s">
        <v>86</v>
      </c>
      <c r="X62" t="s">
        <v>77</v>
      </c>
      <c r="Y62" t="s">
        <v>120</v>
      </c>
      <c r="Z62" t="s">
        <v>250</v>
      </c>
      <c r="AA62" t="s">
        <v>129</v>
      </c>
      <c r="AB62" t="s">
        <v>129</v>
      </c>
      <c r="AC62" t="s">
        <v>79</v>
      </c>
      <c r="AD62" t="s">
        <v>242</v>
      </c>
    </row>
    <row r="63" spans="1:30">
      <c r="A63" t="s">
        <v>75</v>
      </c>
      <c r="B63" t="s">
        <v>120</v>
      </c>
      <c r="C63" t="s">
        <v>216</v>
      </c>
      <c r="D63" t="s">
        <v>216</v>
      </c>
      <c r="E63" t="s">
        <v>251</v>
      </c>
      <c r="F63" t="s">
        <v>240</v>
      </c>
      <c r="G63" t="s">
        <v>121</v>
      </c>
      <c r="H63" t="s">
        <v>140</v>
      </c>
      <c r="I63" t="s">
        <v>141</v>
      </c>
      <c r="J63" t="s">
        <v>142</v>
      </c>
      <c r="K63" t="s">
        <v>143</v>
      </c>
      <c r="L63" t="s">
        <v>144</v>
      </c>
      <c r="M63" t="s">
        <v>142</v>
      </c>
      <c r="N63" t="s">
        <v>78</v>
      </c>
      <c r="O63" t="s">
        <v>135</v>
      </c>
      <c r="P63" s="12">
        <v>-2082957.84</v>
      </c>
      <c r="Q63" s="12">
        <v>-25715.360000000001</v>
      </c>
      <c r="R63">
        <v>1.23456E-2</v>
      </c>
      <c r="S63" t="s">
        <v>128</v>
      </c>
      <c r="T63" t="s">
        <v>120</v>
      </c>
      <c r="U63" t="s">
        <v>215</v>
      </c>
      <c r="V63" t="s">
        <v>80</v>
      </c>
      <c r="W63" t="s">
        <v>86</v>
      </c>
      <c r="X63" t="s">
        <v>77</v>
      </c>
      <c r="Y63" t="s">
        <v>120</v>
      </c>
      <c r="Z63" t="s">
        <v>252</v>
      </c>
      <c r="AA63" t="s">
        <v>129</v>
      </c>
      <c r="AB63" t="s">
        <v>129</v>
      </c>
      <c r="AC63" t="s">
        <v>79</v>
      </c>
      <c r="AD63" t="s">
        <v>242</v>
      </c>
    </row>
    <row r="65" spans="1:46">
      <c r="P65" s="40">
        <f>(456*4567.89)</f>
        <v>2082957.84</v>
      </c>
      <c r="Q65" s="41">
        <f>P65*R63</f>
        <v>25715.364309504002</v>
      </c>
    </row>
    <row r="66" spans="1:46">
      <c r="P66" s="40">
        <f>(5678*6722.89)</f>
        <v>38172569.420000002</v>
      </c>
      <c r="Q66" s="41">
        <f>P66*R63</f>
        <v>471263.27303155203</v>
      </c>
    </row>
    <row r="67" spans="1:46">
      <c r="A67" s="15" t="s">
        <v>150</v>
      </c>
    </row>
    <row r="68" spans="1:46" ht="30" customHeight="1">
      <c r="A68" s="16" t="s">
        <v>151</v>
      </c>
      <c r="B68" s="58" t="s">
        <v>0</v>
      </c>
      <c r="C68" s="58"/>
      <c r="D68" s="16" t="s">
        <v>152</v>
      </c>
      <c r="E68" s="16" t="s">
        <v>153</v>
      </c>
      <c r="F68" s="16" t="s">
        <v>154</v>
      </c>
      <c r="G68" s="16" t="s">
        <v>155</v>
      </c>
      <c r="H68" s="16" t="s">
        <v>156</v>
      </c>
      <c r="I68" s="17" t="s">
        <v>157</v>
      </c>
      <c r="J68" s="17" t="s">
        <v>158</v>
      </c>
      <c r="K68" s="17" t="s">
        <v>159</v>
      </c>
      <c r="L68" s="17" t="s">
        <v>160</v>
      </c>
      <c r="M68" s="17" t="s">
        <v>161</v>
      </c>
      <c r="N68" s="17" t="s">
        <v>162</v>
      </c>
      <c r="O68" s="16" t="s">
        <v>163</v>
      </c>
      <c r="P68" s="17" t="s">
        <v>164</v>
      </c>
      <c r="Q68" s="17" t="s">
        <v>165</v>
      </c>
      <c r="R68" s="16" t="s">
        <v>166</v>
      </c>
      <c r="S68" s="16" t="s">
        <v>167</v>
      </c>
      <c r="T68" s="16" t="s">
        <v>168</v>
      </c>
      <c r="U68" s="16" t="s">
        <v>169</v>
      </c>
      <c r="V68" s="16" t="s">
        <v>170</v>
      </c>
      <c r="W68" s="16" t="s">
        <v>171</v>
      </c>
      <c r="X68" s="17" t="s">
        <v>172</v>
      </c>
      <c r="Y68" s="16" t="s">
        <v>173</v>
      </c>
      <c r="Z68" s="16" t="s">
        <v>174</v>
      </c>
      <c r="AA68" s="16" t="s">
        <v>175</v>
      </c>
      <c r="AB68" s="16" t="s">
        <v>176</v>
      </c>
      <c r="AC68" s="16" t="s">
        <v>177</v>
      </c>
      <c r="AD68" s="16" t="s">
        <v>178</v>
      </c>
      <c r="AE68" s="16" t="s">
        <v>179</v>
      </c>
      <c r="AF68" s="18" t="s">
        <v>180</v>
      </c>
    </row>
    <row r="69" spans="1:46" ht="21.5" customHeight="1">
      <c r="B69" s="59" t="s">
        <v>215</v>
      </c>
      <c r="C69" s="59"/>
      <c r="D69" s="19" t="s">
        <v>256</v>
      </c>
      <c r="F69" s="19" t="s">
        <v>78</v>
      </c>
      <c r="H69" s="20">
        <v>45735</v>
      </c>
      <c r="I69" s="21">
        <v>6134</v>
      </c>
      <c r="J69" s="22">
        <v>6562.6877999999997</v>
      </c>
      <c r="K69" s="23">
        <v>7889</v>
      </c>
      <c r="L69" s="24">
        <v>40255527.259999998</v>
      </c>
      <c r="M69" s="24">
        <v>496978.63</v>
      </c>
      <c r="N69" s="22">
        <v>4567.8900000000003</v>
      </c>
      <c r="O69" s="24">
        <v>28019437.260000002</v>
      </c>
      <c r="P69" s="24">
        <v>345916.76</v>
      </c>
      <c r="Q69" s="25">
        <v>0.52328703100400875</v>
      </c>
      <c r="R69" s="24">
        <v>0</v>
      </c>
      <c r="S69" s="24">
        <v>0</v>
      </c>
      <c r="T69" s="24">
        <v>0</v>
      </c>
      <c r="U69" s="24">
        <v>0</v>
      </c>
      <c r="V69" s="24">
        <v>496978.63</v>
      </c>
      <c r="W69" s="24">
        <v>0</v>
      </c>
      <c r="Y69" s="24">
        <v>-12236090</v>
      </c>
      <c r="Z69" s="24">
        <v>-151061.87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</row>
    <row r="71" spans="1:46">
      <c r="I71" s="41">
        <f>Y76+Y77</f>
        <v>6134</v>
      </c>
      <c r="J71" s="42">
        <f>L69/I69</f>
        <v>6562.6878480599935</v>
      </c>
      <c r="K71" s="42"/>
      <c r="L71" s="41">
        <f>P62+P56</f>
        <v>40255527.260000005</v>
      </c>
      <c r="M71" s="41">
        <f>Q62+Q56</f>
        <v>496978.63</v>
      </c>
    </row>
    <row r="73" spans="1:46">
      <c r="A73" s="15" t="s">
        <v>181</v>
      </c>
    </row>
    <row r="74" spans="1:46" ht="32" customHeight="1">
      <c r="A74" s="26" t="s">
        <v>91</v>
      </c>
      <c r="B74" s="26" t="s">
        <v>182</v>
      </c>
      <c r="C74" s="26" t="s">
        <v>183</v>
      </c>
      <c r="D74" s="26" t="s">
        <v>184</v>
      </c>
      <c r="E74" s="26" t="s">
        <v>94</v>
      </c>
      <c r="F74" s="26" t="s">
        <v>185</v>
      </c>
      <c r="G74" s="26" t="s">
        <v>186</v>
      </c>
      <c r="H74" s="26" t="s">
        <v>187</v>
      </c>
      <c r="I74" s="26" t="s">
        <v>0</v>
      </c>
      <c r="J74" s="26" t="s">
        <v>188</v>
      </c>
      <c r="K74" s="27" t="s">
        <v>159</v>
      </c>
      <c r="L74" s="26" t="s">
        <v>109</v>
      </c>
      <c r="M74" s="64" t="s">
        <v>189</v>
      </c>
      <c r="N74" s="64"/>
      <c r="O74" s="64" t="s">
        <v>172</v>
      </c>
      <c r="P74" s="64"/>
      <c r="Q74" s="64" t="s">
        <v>113</v>
      </c>
      <c r="R74" s="64"/>
      <c r="S74" s="64" t="s">
        <v>190</v>
      </c>
      <c r="T74" s="64"/>
      <c r="U74" s="26" t="s">
        <v>191</v>
      </c>
      <c r="V74" s="26" t="s">
        <v>192</v>
      </c>
      <c r="W74" s="26" t="s">
        <v>193</v>
      </c>
      <c r="X74" s="62" t="s">
        <v>157</v>
      </c>
      <c r="Y74" s="62"/>
      <c r="Z74" s="62" t="s">
        <v>194</v>
      </c>
      <c r="AA74" s="62"/>
      <c r="AB74" s="62" t="s">
        <v>195</v>
      </c>
      <c r="AC74" s="62"/>
      <c r="AD74" s="27" t="s">
        <v>196</v>
      </c>
      <c r="AE74" s="27" t="s">
        <v>197</v>
      </c>
      <c r="AF74" s="27" t="s">
        <v>198</v>
      </c>
      <c r="AG74" s="27" t="s">
        <v>199</v>
      </c>
      <c r="AH74" s="27" t="s">
        <v>200</v>
      </c>
      <c r="AI74" s="27" t="s">
        <v>201</v>
      </c>
      <c r="AJ74" s="27" t="s">
        <v>202</v>
      </c>
      <c r="AK74" s="27" t="s">
        <v>203</v>
      </c>
      <c r="AL74" s="27" t="s">
        <v>204</v>
      </c>
      <c r="AM74" s="27" t="s">
        <v>205</v>
      </c>
      <c r="AN74" s="27" t="s">
        <v>206</v>
      </c>
      <c r="AO74" s="28" t="s">
        <v>207</v>
      </c>
      <c r="AP74" s="29"/>
      <c r="AQ74" s="62" t="s">
        <v>208</v>
      </c>
      <c r="AR74" s="62"/>
      <c r="AS74" s="30" t="s">
        <v>209</v>
      </c>
    </row>
    <row r="75" spans="1:46" ht="15" customHeight="1">
      <c r="A75" s="63" t="s">
        <v>253</v>
      </c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</row>
    <row r="76" spans="1:46" ht="27" customHeight="1">
      <c r="A76" s="19" t="s">
        <v>75</v>
      </c>
      <c r="B76" s="19" t="s">
        <v>210</v>
      </c>
      <c r="C76" s="19" t="s">
        <v>254</v>
      </c>
      <c r="D76" s="19" t="s">
        <v>255</v>
      </c>
      <c r="E76" s="20">
        <v>45627</v>
      </c>
      <c r="F76" s="20">
        <v>45627</v>
      </c>
      <c r="G76" s="19" t="s">
        <v>240</v>
      </c>
      <c r="H76" s="19" t="s">
        <v>86</v>
      </c>
      <c r="I76" s="19" t="s">
        <v>215</v>
      </c>
      <c r="J76" s="19" t="s">
        <v>256</v>
      </c>
      <c r="K76" s="24">
        <v>7889</v>
      </c>
      <c r="L76" s="31" t="s">
        <v>128</v>
      </c>
      <c r="N76" s="60" t="s">
        <v>211</v>
      </c>
      <c r="O76" s="60"/>
      <c r="P76" s="60" t="s">
        <v>83</v>
      </c>
      <c r="Q76" s="60"/>
      <c r="R76" s="60" t="s">
        <v>77</v>
      </c>
      <c r="S76" s="60"/>
      <c r="T76" s="59" t="s">
        <v>212</v>
      </c>
      <c r="U76" s="59"/>
      <c r="Y76" s="65">
        <v>456</v>
      </c>
      <c r="Z76" s="65"/>
      <c r="AA76" s="66">
        <v>4567.8900000000003</v>
      </c>
      <c r="AB76" s="66"/>
      <c r="AC76" s="24">
        <v>25715.360000000001</v>
      </c>
      <c r="AD76" s="24" t="s">
        <v>213</v>
      </c>
      <c r="AE76" s="24">
        <v>67.5</v>
      </c>
      <c r="AF76" s="23">
        <v>0.26248903379147714</v>
      </c>
      <c r="AG76" s="24">
        <v>42.65</v>
      </c>
      <c r="AH76" s="24">
        <v>0</v>
      </c>
      <c r="AI76" s="24">
        <v>0</v>
      </c>
      <c r="AJ76" s="24">
        <v>2082957.84</v>
      </c>
      <c r="AK76" s="24">
        <v>25715.360000000001</v>
      </c>
      <c r="AL76" s="24">
        <v>2082957.84</v>
      </c>
      <c r="AM76" s="24">
        <v>25715.360000000001</v>
      </c>
      <c r="AN76" s="24">
        <v>0</v>
      </c>
      <c r="AO76" s="24">
        <v>0</v>
      </c>
      <c r="AQ76" s="65">
        <v>0</v>
      </c>
      <c r="AR76" s="65"/>
      <c r="AS76" s="24">
        <v>0</v>
      </c>
    </row>
    <row r="77" spans="1:46" ht="27" customHeight="1">
      <c r="A77" s="32" t="s">
        <v>75</v>
      </c>
      <c r="B77" s="32" t="s">
        <v>210</v>
      </c>
      <c r="C77" s="32" t="s">
        <v>254</v>
      </c>
      <c r="D77" s="32" t="s">
        <v>255</v>
      </c>
      <c r="E77" s="33">
        <v>45627</v>
      </c>
      <c r="F77" s="33">
        <v>45628</v>
      </c>
      <c r="G77" s="32" t="s">
        <v>218</v>
      </c>
      <c r="H77" s="32" t="s">
        <v>86</v>
      </c>
      <c r="I77" s="32" t="s">
        <v>215</v>
      </c>
      <c r="J77" s="32" t="s">
        <v>256</v>
      </c>
      <c r="K77" s="34">
        <v>7889</v>
      </c>
      <c r="L77" s="35" t="s">
        <v>128</v>
      </c>
      <c r="M77" s="29"/>
      <c r="N77" s="61" t="s">
        <v>211</v>
      </c>
      <c r="O77" s="61"/>
      <c r="P77" s="61" t="s">
        <v>83</v>
      </c>
      <c r="Q77" s="61"/>
      <c r="R77" s="61" t="s">
        <v>77</v>
      </c>
      <c r="S77" s="61"/>
      <c r="T77" s="67" t="s">
        <v>212</v>
      </c>
      <c r="U77" s="67"/>
      <c r="V77" s="29"/>
      <c r="W77" s="29"/>
      <c r="X77" s="29"/>
      <c r="Y77" s="68">
        <v>5678</v>
      </c>
      <c r="Z77" s="68"/>
      <c r="AA77" s="69">
        <v>6722.89</v>
      </c>
      <c r="AB77" s="69"/>
      <c r="AC77" s="34">
        <v>471263.27</v>
      </c>
      <c r="AD77" s="34" t="s">
        <v>213</v>
      </c>
      <c r="AE77" s="34">
        <v>12.26</v>
      </c>
      <c r="AF77" s="36">
        <v>2.6015182553904529E-3</v>
      </c>
      <c r="AG77" s="34">
        <v>16.600000000000001</v>
      </c>
      <c r="AH77" s="34">
        <v>0</v>
      </c>
      <c r="AI77" s="34">
        <v>0</v>
      </c>
      <c r="AJ77" s="34">
        <v>38172569.420000002</v>
      </c>
      <c r="AK77" s="34">
        <v>471263.27</v>
      </c>
      <c r="AL77" s="34">
        <v>38172569.420000002</v>
      </c>
      <c r="AM77" s="34">
        <v>471263.27</v>
      </c>
      <c r="AN77" s="34">
        <v>0</v>
      </c>
      <c r="AO77" s="34">
        <v>0</v>
      </c>
      <c r="AP77" s="29"/>
      <c r="AQ77" s="68">
        <v>0</v>
      </c>
      <c r="AR77" s="68"/>
      <c r="AS77" s="34">
        <v>0</v>
      </c>
      <c r="AT77" s="29"/>
    </row>
    <row r="79" spans="1:46">
      <c r="AB79" s="13">
        <f>Y76*AA76</f>
        <v>2082957.84</v>
      </c>
      <c r="AC79" s="41">
        <f>AB79*R63</f>
        <v>25715.364309504002</v>
      </c>
      <c r="AJ79" s="13">
        <f>AB79</f>
        <v>2082957.84</v>
      </c>
      <c r="AK79" s="13">
        <f>AC79</f>
        <v>25715.364309504002</v>
      </c>
    </row>
    <row r="80" spans="1:46">
      <c r="AB80" s="13">
        <f>Y77*AA77</f>
        <v>38172569.420000002</v>
      </c>
      <c r="AC80" s="41">
        <f>AB80*R63</f>
        <v>471263.27303155203</v>
      </c>
      <c r="AJ80" s="13">
        <f>AB80</f>
        <v>38172569.420000002</v>
      </c>
      <c r="AK80" s="13">
        <f>AC80</f>
        <v>471263.27303155203</v>
      </c>
    </row>
    <row r="81" spans="1:1">
      <c r="A81" s="15" t="s">
        <v>214</v>
      </c>
    </row>
    <row r="99" spans="1:32">
      <c r="A99" s="14" t="s">
        <v>149</v>
      </c>
    </row>
    <row r="100" spans="1:32">
      <c r="A100" s="11" t="s">
        <v>91</v>
      </c>
      <c r="B100" s="11" t="s">
        <v>92</v>
      </c>
      <c r="C100" s="11" t="s">
        <v>93</v>
      </c>
      <c r="D100" s="11" t="s">
        <v>94</v>
      </c>
      <c r="E100" s="11" t="s">
        <v>95</v>
      </c>
      <c r="F100" s="11" t="s">
        <v>96</v>
      </c>
      <c r="G100" s="11" t="s">
        <v>97</v>
      </c>
      <c r="H100" s="11" t="s">
        <v>98</v>
      </c>
      <c r="I100" s="11" t="s">
        <v>99</v>
      </c>
      <c r="J100" s="11" t="s">
        <v>100</v>
      </c>
      <c r="K100" s="11" t="s">
        <v>101</v>
      </c>
      <c r="L100" s="11" t="s">
        <v>102</v>
      </c>
      <c r="M100" s="11" t="s">
        <v>103</v>
      </c>
      <c r="N100" s="11" t="s">
        <v>104</v>
      </c>
      <c r="O100" s="11" t="s">
        <v>105</v>
      </c>
      <c r="P100" s="11" t="s">
        <v>106</v>
      </c>
      <c r="Q100" s="11" t="s">
        <v>107</v>
      </c>
      <c r="R100" s="11" t="s">
        <v>108</v>
      </c>
      <c r="S100" s="11" t="s">
        <v>109</v>
      </c>
      <c r="T100" s="11" t="s">
        <v>110</v>
      </c>
      <c r="U100" s="11" t="s">
        <v>0</v>
      </c>
      <c r="V100" s="11" t="s">
        <v>111</v>
      </c>
      <c r="W100" s="11" t="s">
        <v>112</v>
      </c>
      <c r="X100" s="11" t="s">
        <v>113</v>
      </c>
      <c r="Y100" s="11" t="s">
        <v>114</v>
      </c>
      <c r="Z100" s="11" t="s">
        <v>115</v>
      </c>
      <c r="AA100" s="11" t="s">
        <v>116</v>
      </c>
      <c r="AB100" s="11" t="s">
        <v>117</v>
      </c>
      <c r="AC100" s="11" t="s">
        <v>118</v>
      </c>
      <c r="AD100" s="11" t="s">
        <v>119</v>
      </c>
    </row>
    <row r="101" spans="1:32">
      <c r="A101" t="s">
        <v>75</v>
      </c>
      <c r="B101" t="s">
        <v>120</v>
      </c>
      <c r="C101" t="s">
        <v>216</v>
      </c>
      <c r="D101" t="s">
        <v>216</v>
      </c>
      <c r="E101" t="s">
        <v>257</v>
      </c>
      <c r="F101" t="s">
        <v>258</v>
      </c>
      <c r="G101" t="s">
        <v>259</v>
      </c>
      <c r="H101" t="s">
        <v>260</v>
      </c>
      <c r="I101" t="s">
        <v>261</v>
      </c>
      <c r="J101" t="s">
        <v>262</v>
      </c>
      <c r="K101" t="s">
        <v>263</v>
      </c>
      <c r="L101" t="s">
        <v>264</v>
      </c>
      <c r="M101" t="s">
        <v>262</v>
      </c>
      <c r="N101" t="s">
        <v>78</v>
      </c>
      <c r="O101" t="s">
        <v>135</v>
      </c>
      <c r="P101" s="12">
        <v>-18783092.219999999</v>
      </c>
      <c r="Q101" s="12">
        <v>-231888.54</v>
      </c>
      <c r="R101">
        <v>1.23456E-2</v>
      </c>
      <c r="S101" t="s">
        <v>128</v>
      </c>
      <c r="T101" t="s">
        <v>120</v>
      </c>
      <c r="U101" t="s">
        <v>215</v>
      </c>
      <c r="V101" t="s">
        <v>80</v>
      </c>
      <c r="W101" t="s">
        <v>265</v>
      </c>
      <c r="X101" t="s">
        <v>120</v>
      </c>
      <c r="Y101" t="s">
        <v>120</v>
      </c>
      <c r="Z101" t="s">
        <v>266</v>
      </c>
      <c r="AA101" t="s">
        <v>129</v>
      </c>
      <c r="AB101" t="s">
        <v>267</v>
      </c>
      <c r="AC101" t="s">
        <v>79</v>
      </c>
      <c r="AD101" t="s">
        <v>258</v>
      </c>
    </row>
    <row r="102" spans="1:32">
      <c r="A102" t="s">
        <v>75</v>
      </c>
      <c r="B102" t="s">
        <v>120</v>
      </c>
      <c r="C102" t="s">
        <v>216</v>
      </c>
      <c r="D102" t="s">
        <v>216</v>
      </c>
      <c r="E102" t="s">
        <v>268</v>
      </c>
      <c r="F102" t="s">
        <v>258</v>
      </c>
      <c r="G102" t="s">
        <v>259</v>
      </c>
      <c r="H102" t="s">
        <v>140</v>
      </c>
      <c r="I102" t="s">
        <v>269</v>
      </c>
      <c r="J102" t="s">
        <v>270</v>
      </c>
      <c r="K102" t="s">
        <v>271</v>
      </c>
      <c r="L102" t="s">
        <v>272</v>
      </c>
      <c r="M102" t="s">
        <v>270</v>
      </c>
      <c r="N102" t="s">
        <v>78</v>
      </c>
      <c r="O102" t="s">
        <v>127</v>
      </c>
      <c r="P102" s="12">
        <v>18783092.219999999</v>
      </c>
      <c r="Q102" s="12">
        <v>231888.54</v>
      </c>
      <c r="R102">
        <v>1.23456E-2</v>
      </c>
      <c r="S102" t="s">
        <v>128</v>
      </c>
      <c r="T102" t="s">
        <v>120</v>
      </c>
      <c r="U102" t="s">
        <v>215</v>
      </c>
      <c r="V102" t="s">
        <v>80</v>
      </c>
      <c r="W102" t="s">
        <v>265</v>
      </c>
      <c r="X102" t="s">
        <v>120</v>
      </c>
      <c r="Y102" t="s">
        <v>120</v>
      </c>
      <c r="Z102" t="s">
        <v>266</v>
      </c>
      <c r="AA102" t="s">
        <v>129</v>
      </c>
      <c r="AB102" t="s">
        <v>267</v>
      </c>
      <c r="AC102" t="s">
        <v>79</v>
      </c>
      <c r="AD102" t="s">
        <v>258</v>
      </c>
    </row>
    <row r="105" spans="1:32">
      <c r="A105" s="15" t="s">
        <v>150</v>
      </c>
    </row>
    <row r="106" spans="1:32" ht="30" customHeight="1">
      <c r="A106" s="16" t="s">
        <v>151</v>
      </c>
      <c r="B106" s="58" t="s">
        <v>0</v>
      </c>
      <c r="C106" s="58"/>
      <c r="D106" s="16" t="s">
        <v>152</v>
      </c>
      <c r="E106" s="16" t="s">
        <v>153</v>
      </c>
      <c r="F106" s="16" t="s">
        <v>154</v>
      </c>
      <c r="G106" s="16" t="s">
        <v>155</v>
      </c>
      <c r="H106" s="16" t="s">
        <v>156</v>
      </c>
      <c r="I106" s="17" t="s">
        <v>157</v>
      </c>
      <c r="J106" s="17" t="s">
        <v>158</v>
      </c>
      <c r="K106" s="17" t="s">
        <v>159</v>
      </c>
      <c r="L106" s="17" t="s">
        <v>160</v>
      </c>
      <c r="M106" s="17" t="s">
        <v>161</v>
      </c>
      <c r="N106" s="17" t="s">
        <v>162</v>
      </c>
      <c r="O106" s="16" t="s">
        <v>163</v>
      </c>
      <c r="P106" s="17" t="s">
        <v>164</v>
      </c>
      <c r="Q106" s="17" t="s">
        <v>165</v>
      </c>
      <c r="R106" s="16" t="s">
        <v>166</v>
      </c>
      <c r="S106" s="16" t="s">
        <v>167</v>
      </c>
      <c r="T106" s="16" t="s">
        <v>168</v>
      </c>
      <c r="U106" s="16" t="s">
        <v>169</v>
      </c>
      <c r="V106" s="16" t="s">
        <v>170</v>
      </c>
      <c r="W106" s="16" t="s">
        <v>171</v>
      </c>
      <c r="X106" s="17" t="s">
        <v>172</v>
      </c>
      <c r="Y106" s="16" t="s">
        <v>173</v>
      </c>
      <c r="Z106" s="16" t="s">
        <v>174</v>
      </c>
      <c r="AA106" s="16" t="s">
        <v>175</v>
      </c>
      <c r="AB106" s="16" t="s">
        <v>176</v>
      </c>
      <c r="AC106" s="16" t="s">
        <v>177</v>
      </c>
      <c r="AD106" s="16" t="s">
        <v>178</v>
      </c>
      <c r="AE106" s="16" t="s">
        <v>179</v>
      </c>
      <c r="AF106" s="18" t="s">
        <v>180</v>
      </c>
    </row>
    <row r="107" spans="1:32" ht="21.5" customHeight="1">
      <c r="B107" s="59" t="s">
        <v>215</v>
      </c>
      <c r="C107" s="59"/>
      <c r="D107" s="19" t="s">
        <v>256</v>
      </c>
      <c r="F107" s="19" t="s">
        <v>78</v>
      </c>
      <c r="H107" s="20">
        <v>45735</v>
      </c>
      <c r="I107" s="21">
        <v>6134</v>
      </c>
      <c r="J107" s="22">
        <v>6562.6877999999997</v>
      </c>
      <c r="K107" s="23">
        <v>7889</v>
      </c>
      <c r="L107" s="24">
        <v>40255527.259999998</v>
      </c>
      <c r="M107" s="24">
        <v>496978.63</v>
      </c>
      <c r="N107" s="22">
        <v>3500.56</v>
      </c>
      <c r="O107" s="24">
        <v>21472435.039999999</v>
      </c>
      <c r="P107" s="24">
        <v>265090.09000000003</v>
      </c>
      <c r="Q107" s="25">
        <v>0.39246402379292133</v>
      </c>
      <c r="R107" s="24">
        <v>0</v>
      </c>
      <c r="S107" s="24">
        <v>0</v>
      </c>
      <c r="T107" s="24">
        <v>0</v>
      </c>
      <c r="U107" s="24">
        <v>0</v>
      </c>
      <c r="V107" s="24">
        <v>496978.63</v>
      </c>
      <c r="W107" s="24">
        <v>0</v>
      </c>
      <c r="X107" s="23">
        <v>1.23456E-2</v>
      </c>
      <c r="Y107" s="24">
        <v>-18783092.219999999</v>
      </c>
      <c r="Z107" s="24">
        <v>-231888.54</v>
      </c>
      <c r="AA107" s="24">
        <v>-18783092.219999999</v>
      </c>
      <c r="AB107" s="24">
        <v>-231888.54</v>
      </c>
      <c r="AC107" s="24">
        <v>0</v>
      </c>
      <c r="AD107" s="24">
        <v>0</v>
      </c>
      <c r="AE107" s="24">
        <v>0</v>
      </c>
      <c r="AF107" s="43">
        <v>45627</v>
      </c>
    </row>
    <row r="109" spans="1:32">
      <c r="O109" s="41">
        <f>N107*I107</f>
        <v>21472435.039999999</v>
      </c>
      <c r="P109" s="41">
        <f>O107*X107</f>
        <v>265090.09402982402</v>
      </c>
      <c r="Y109" s="41">
        <f>O107-L107</f>
        <v>-18783092.219999999</v>
      </c>
      <c r="Z109" s="41">
        <f>P107-M107</f>
        <v>-231888.53999999998</v>
      </c>
      <c r="AA109" s="45">
        <f>O107-L107</f>
        <v>-18783092.219999999</v>
      </c>
      <c r="AB109" s="41">
        <f>AA107*X107</f>
        <v>-231888.54331123197</v>
      </c>
    </row>
    <row r="110" spans="1:32">
      <c r="A110" t="s">
        <v>273</v>
      </c>
    </row>
    <row r="111" spans="1:32">
      <c r="A111" s="15" t="s">
        <v>274</v>
      </c>
    </row>
    <row r="133" spans="1:1">
      <c r="A133" s="15" t="s">
        <v>214</v>
      </c>
    </row>
    <row r="153" spans="1:30">
      <c r="A153" s="14" t="s">
        <v>149</v>
      </c>
    </row>
    <row r="154" spans="1:30">
      <c r="A154" s="11" t="s">
        <v>91</v>
      </c>
      <c r="B154" s="11" t="s">
        <v>92</v>
      </c>
      <c r="C154" s="11" t="s">
        <v>93</v>
      </c>
      <c r="D154" s="11" t="s">
        <v>94</v>
      </c>
      <c r="E154" s="11" t="s">
        <v>95</v>
      </c>
      <c r="F154" s="11" t="s">
        <v>96</v>
      </c>
      <c r="G154" s="11" t="s">
        <v>97</v>
      </c>
      <c r="H154" s="11" t="s">
        <v>98</v>
      </c>
      <c r="I154" s="11" t="s">
        <v>99</v>
      </c>
      <c r="J154" s="11" t="s">
        <v>100</v>
      </c>
      <c r="K154" s="11" t="s">
        <v>101</v>
      </c>
      <c r="L154" s="11" t="s">
        <v>102</v>
      </c>
      <c r="M154" s="11" t="s">
        <v>103</v>
      </c>
      <c r="N154" s="11" t="s">
        <v>104</v>
      </c>
      <c r="O154" s="11" t="s">
        <v>105</v>
      </c>
      <c r="P154" s="11" t="s">
        <v>106</v>
      </c>
      <c r="Q154" s="11" t="s">
        <v>107</v>
      </c>
      <c r="R154" s="11" t="s">
        <v>108</v>
      </c>
      <c r="S154" s="11" t="s">
        <v>109</v>
      </c>
      <c r="T154" s="11" t="s">
        <v>110</v>
      </c>
      <c r="U154" s="11" t="s">
        <v>0</v>
      </c>
      <c r="V154" s="11" t="s">
        <v>111</v>
      </c>
      <c r="W154" s="11" t="s">
        <v>112</v>
      </c>
      <c r="X154" s="11" t="s">
        <v>113</v>
      </c>
      <c r="Y154" s="11" t="s">
        <v>114</v>
      </c>
      <c r="Z154" s="11" t="s">
        <v>115</v>
      </c>
      <c r="AA154" s="11" t="s">
        <v>116</v>
      </c>
      <c r="AB154" s="11" t="s">
        <v>117</v>
      </c>
      <c r="AC154" s="11" t="s">
        <v>118</v>
      </c>
      <c r="AD154" s="11" t="s">
        <v>119</v>
      </c>
    </row>
    <row r="155" spans="1:30">
      <c r="A155" t="s">
        <v>75</v>
      </c>
      <c r="B155" t="s">
        <v>120</v>
      </c>
      <c r="C155" t="s">
        <v>275</v>
      </c>
      <c r="D155" t="s">
        <v>275</v>
      </c>
      <c r="E155" t="s">
        <v>276</v>
      </c>
      <c r="F155" t="s">
        <v>277</v>
      </c>
      <c r="G155" t="s">
        <v>259</v>
      </c>
      <c r="H155" t="s">
        <v>260</v>
      </c>
      <c r="I155" t="s">
        <v>261</v>
      </c>
      <c r="J155" t="s">
        <v>262</v>
      </c>
      <c r="K155" t="s">
        <v>263</v>
      </c>
      <c r="L155" t="s">
        <v>264</v>
      </c>
      <c r="M155" t="s">
        <v>262</v>
      </c>
      <c r="N155" t="s">
        <v>78</v>
      </c>
      <c r="O155" t="s">
        <v>127</v>
      </c>
      <c r="P155" s="12">
        <v>2864578</v>
      </c>
      <c r="Q155" s="12">
        <v>47934.19</v>
      </c>
      <c r="R155">
        <v>1.1556E-2</v>
      </c>
      <c r="S155" t="s">
        <v>128</v>
      </c>
      <c r="T155" t="s">
        <v>120</v>
      </c>
      <c r="U155" t="s">
        <v>215</v>
      </c>
      <c r="V155" t="s">
        <v>80</v>
      </c>
      <c r="W155" t="s">
        <v>265</v>
      </c>
      <c r="X155" t="s">
        <v>120</v>
      </c>
      <c r="Y155" t="s">
        <v>120</v>
      </c>
      <c r="Z155" t="s">
        <v>266</v>
      </c>
      <c r="AA155" t="s">
        <v>129</v>
      </c>
      <c r="AB155" t="s">
        <v>267</v>
      </c>
      <c r="AC155" t="s">
        <v>79</v>
      </c>
      <c r="AD155" t="s">
        <v>277</v>
      </c>
    </row>
    <row r="156" spans="1:30">
      <c r="A156" t="s">
        <v>75</v>
      </c>
      <c r="B156" t="s">
        <v>120</v>
      </c>
      <c r="C156" t="s">
        <v>275</v>
      </c>
      <c r="D156" t="s">
        <v>275</v>
      </c>
      <c r="E156" t="s">
        <v>278</v>
      </c>
      <c r="F156" t="s">
        <v>277</v>
      </c>
      <c r="G156" t="s">
        <v>259</v>
      </c>
      <c r="H156" t="s">
        <v>260</v>
      </c>
      <c r="I156" t="s">
        <v>279</v>
      </c>
      <c r="J156" t="s">
        <v>280</v>
      </c>
      <c r="K156" t="s">
        <v>281</v>
      </c>
      <c r="L156" t="s">
        <v>282</v>
      </c>
      <c r="M156" t="s">
        <v>280</v>
      </c>
      <c r="N156" t="s">
        <v>78</v>
      </c>
      <c r="O156" t="s">
        <v>127</v>
      </c>
      <c r="P156" s="12">
        <v>0</v>
      </c>
      <c r="Q156" s="12">
        <v>-31785.759999999998</v>
      </c>
      <c r="R156">
        <v>1.1556E-2</v>
      </c>
      <c r="S156" t="s">
        <v>128</v>
      </c>
      <c r="T156" t="s">
        <v>120</v>
      </c>
      <c r="U156" t="s">
        <v>215</v>
      </c>
      <c r="V156" t="s">
        <v>80</v>
      </c>
      <c r="W156" t="s">
        <v>265</v>
      </c>
      <c r="X156" t="s">
        <v>120</v>
      </c>
      <c r="Y156" t="s">
        <v>120</v>
      </c>
      <c r="Z156" t="s">
        <v>283</v>
      </c>
      <c r="AA156" t="s">
        <v>129</v>
      </c>
      <c r="AB156" t="s">
        <v>267</v>
      </c>
      <c r="AC156" t="s">
        <v>79</v>
      </c>
      <c r="AD156" t="s">
        <v>277</v>
      </c>
    </row>
    <row r="157" spans="1:30">
      <c r="A157" t="s">
        <v>75</v>
      </c>
      <c r="B157" t="s">
        <v>120</v>
      </c>
      <c r="C157" t="s">
        <v>275</v>
      </c>
      <c r="D157" t="s">
        <v>275</v>
      </c>
      <c r="E157" t="s">
        <v>284</v>
      </c>
      <c r="F157" t="s">
        <v>277</v>
      </c>
      <c r="G157" t="s">
        <v>259</v>
      </c>
      <c r="H157" t="s">
        <v>140</v>
      </c>
      <c r="I157" t="s">
        <v>285</v>
      </c>
      <c r="J157" t="s">
        <v>286</v>
      </c>
      <c r="K157" t="s">
        <v>287</v>
      </c>
      <c r="L157" t="s">
        <v>288</v>
      </c>
      <c r="M157" t="s">
        <v>286</v>
      </c>
      <c r="N157" t="s">
        <v>78</v>
      </c>
      <c r="O157" t="s">
        <v>127</v>
      </c>
      <c r="P157" s="12">
        <v>0</v>
      </c>
      <c r="Q157" s="12">
        <v>31785.759999999998</v>
      </c>
      <c r="R157">
        <v>1.1556E-2</v>
      </c>
      <c r="S157" t="s">
        <v>128</v>
      </c>
      <c r="T157" t="s">
        <v>120</v>
      </c>
      <c r="U157" t="s">
        <v>215</v>
      </c>
      <c r="V157" t="s">
        <v>80</v>
      </c>
      <c r="W157" t="s">
        <v>265</v>
      </c>
      <c r="X157" t="s">
        <v>120</v>
      </c>
      <c r="Y157" t="s">
        <v>120</v>
      </c>
      <c r="Z157" t="s">
        <v>283</v>
      </c>
      <c r="AA157" t="s">
        <v>129</v>
      </c>
      <c r="AB157" t="s">
        <v>267</v>
      </c>
      <c r="AC157" t="s">
        <v>79</v>
      </c>
      <c r="AD157" t="s">
        <v>277</v>
      </c>
    </row>
    <row r="158" spans="1:30">
      <c r="A158" t="s">
        <v>75</v>
      </c>
      <c r="B158" t="s">
        <v>120</v>
      </c>
      <c r="C158" t="s">
        <v>275</v>
      </c>
      <c r="D158" t="s">
        <v>275</v>
      </c>
      <c r="E158" t="s">
        <v>289</v>
      </c>
      <c r="F158" t="s">
        <v>277</v>
      </c>
      <c r="G158" t="s">
        <v>259</v>
      </c>
      <c r="H158" t="s">
        <v>140</v>
      </c>
      <c r="I158" t="s">
        <v>269</v>
      </c>
      <c r="J158" t="s">
        <v>270</v>
      </c>
      <c r="K158" t="s">
        <v>271</v>
      </c>
      <c r="L158" t="s">
        <v>272</v>
      </c>
      <c r="M158" t="s">
        <v>270</v>
      </c>
      <c r="N158" t="s">
        <v>78</v>
      </c>
      <c r="O158" t="s">
        <v>135</v>
      </c>
      <c r="P158" s="12">
        <v>-2864578</v>
      </c>
      <c r="Q158" s="12">
        <v>-47934.19</v>
      </c>
      <c r="R158">
        <v>1.1556E-2</v>
      </c>
      <c r="S158" t="s">
        <v>128</v>
      </c>
      <c r="T158" t="s">
        <v>120</v>
      </c>
      <c r="U158" t="s">
        <v>215</v>
      </c>
      <c r="V158" t="s">
        <v>80</v>
      </c>
      <c r="W158" t="s">
        <v>265</v>
      </c>
      <c r="X158" t="s">
        <v>120</v>
      </c>
      <c r="Y158" t="s">
        <v>120</v>
      </c>
      <c r="Z158" t="s">
        <v>266</v>
      </c>
      <c r="AA158" t="s">
        <v>129</v>
      </c>
      <c r="AB158" t="s">
        <v>267</v>
      </c>
      <c r="AC158" t="s">
        <v>79</v>
      </c>
      <c r="AD158" t="s">
        <v>277</v>
      </c>
    </row>
    <row r="159" spans="1:30">
      <c r="A159" t="s">
        <v>75</v>
      </c>
      <c r="B159" t="s">
        <v>120</v>
      </c>
      <c r="C159" t="s">
        <v>275</v>
      </c>
      <c r="D159" t="s">
        <v>275</v>
      </c>
      <c r="E159" t="s">
        <v>290</v>
      </c>
      <c r="F159" t="s">
        <v>291</v>
      </c>
      <c r="G159" t="s">
        <v>292</v>
      </c>
      <c r="H159" t="s">
        <v>140</v>
      </c>
      <c r="I159" t="s">
        <v>145</v>
      </c>
      <c r="J159" t="s">
        <v>146</v>
      </c>
      <c r="K159" t="s">
        <v>147</v>
      </c>
      <c r="L159" t="s">
        <v>148</v>
      </c>
      <c r="M159" t="s">
        <v>146</v>
      </c>
      <c r="N159" t="s">
        <v>78</v>
      </c>
      <c r="O159" t="s">
        <v>127</v>
      </c>
      <c r="P159" s="12">
        <v>38172569.420000002</v>
      </c>
      <c r="Q159" s="12">
        <v>471263.27</v>
      </c>
      <c r="R159">
        <v>1.23456E-2</v>
      </c>
      <c r="S159" t="s">
        <v>128</v>
      </c>
      <c r="T159" t="s">
        <v>120</v>
      </c>
      <c r="U159" t="s">
        <v>215</v>
      </c>
      <c r="V159" t="s">
        <v>80</v>
      </c>
      <c r="W159" t="s">
        <v>293</v>
      </c>
      <c r="X159" t="s">
        <v>77</v>
      </c>
      <c r="Y159" t="s">
        <v>120</v>
      </c>
      <c r="Z159" t="s">
        <v>294</v>
      </c>
      <c r="AA159" t="s">
        <v>129</v>
      </c>
      <c r="AB159" t="s">
        <v>129</v>
      </c>
      <c r="AC159" t="s">
        <v>79</v>
      </c>
      <c r="AD159" t="s">
        <v>220</v>
      </c>
    </row>
    <row r="160" spans="1:30">
      <c r="A160" t="s">
        <v>75</v>
      </c>
      <c r="B160" t="s">
        <v>120</v>
      </c>
      <c r="C160" t="s">
        <v>275</v>
      </c>
      <c r="D160" t="s">
        <v>275</v>
      </c>
      <c r="E160" t="s">
        <v>295</v>
      </c>
      <c r="F160" t="s">
        <v>291</v>
      </c>
      <c r="G160" t="s">
        <v>292</v>
      </c>
      <c r="H160" t="s">
        <v>122</v>
      </c>
      <c r="I160" t="s">
        <v>136</v>
      </c>
      <c r="J160" t="s">
        <v>137</v>
      </c>
      <c r="K160" t="s">
        <v>138</v>
      </c>
      <c r="L160" t="s">
        <v>139</v>
      </c>
      <c r="M160" t="s">
        <v>137</v>
      </c>
      <c r="N160" t="s">
        <v>78</v>
      </c>
      <c r="O160" t="s">
        <v>135</v>
      </c>
      <c r="P160" s="12">
        <v>-38172569.420000002</v>
      </c>
      <c r="Q160" s="12">
        <v>-471263.27</v>
      </c>
      <c r="R160">
        <v>1.23456E-2</v>
      </c>
      <c r="S160" t="s">
        <v>128</v>
      </c>
      <c r="T160" t="s">
        <v>120</v>
      </c>
      <c r="U160" t="s">
        <v>215</v>
      </c>
      <c r="V160" t="s">
        <v>80</v>
      </c>
      <c r="W160" t="s">
        <v>293</v>
      </c>
      <c r="X160" t="s">
        <v>77</v>
      </c>
      <c r="Y160" t="s">
        <v>120</v>
      </c>
      <c r="Z160" t="s">
        <v>294</v>
      </c>
      <c r="AA160" t="s">
        <v>129</v>
      </c>
      <c r="AB160" t="s">
        <v>129</v>
      </c>
      <c r="AC160" t="s">
        <v>79</v>
      </c>
      <c r="AD160" t="s">
        <v>220</v>
      </c>
    </row>
    <row r="164" spans="1:73">
      <c r="A164" s="15" t="s">
        <v>150</v>
      </c>
    </row>
    <row r="165" spans="1:73" ht="30" customHeight="1">
      <c r="A165" s="16" t="s">
        <v>151</v>
      </c>
      <c r="B165" s="58" t="s">
        <v>0</v>
      </c>
      <c r="C165" s="58"/>
      <c r="D165" s="16" t="s">
        <v>152</v>
      </c>
      <c r="E165" s="16" t="s">
        <v>153</v>
      </c>
      <c r="F165" s="16" t="s">
        <v>154</v>
      </c>
      <c r="G165" s="16" t="s">
        <v>155</v>
      </c>
      <c r="H165" s="16" t="s">
        <v>156</v>
      </c>
      <c r="I165" s="17" t="s">
        <v>157</v>
      </c>
      <c r="J165" s="17" t="s">
        <v>158</v>
      </c>
      <c r="K165" s="17" t="s">
        <v>159</v>
      </c>
      <c r="L165" s="17" t="s">
        <v>160</v>
      </c>
      <c r="M165" s="17" t="s">
        <v>161</v>
      </c>
      <c r="N165" s="17" t="s">
        <v>162</v>
      </c>
      <c r="O165" s="16" t="s">
        <v>163</v>
      </c>
      <c r="P165" s="17" t="s">
        <v>164</v>
      </c>
      <c r="Q165" s="17" t="s">
        <v>165</v>
      </c>
      <c r="R165" s="16" t="s">
        <v>166</v>
      </c>
      <c r="S165" s="16" t="s">
        <v>167</v>
      </c>
      <c r="T165" s="16" t="s">
        <v>168</v>
      </c>
      <c r="U165" s="16" t="s">
        <v>169</v>
      </c>
      <c r="V165" s="16" t="s">
        <v>170</v>
      </c>
      <c r="W165" s="16" t="s">
        <v>171</v>
      </c>
      <c r="X165" s="17" t="s">
        <v>172</v>
      </c>
      <c r="Y165" s="16" t="s">
        <v>173</v>
      </c>
      <c r="Z165" s="16" t="s">
        <v>174</v>
      </c>
      <c r="AA165" s="16" t="s">
        <v>175</v>
      </c>
      <c r="AB165" s="16" t="s">
        <v>176</v>
      </c>
      <c r="AC165" s="16" t="s">
        <v>177</v>
      </c>
      <c r="AD165" s="16" t="s">
        <v>178</v>
      </c>
      <c r="AE165" s="16" t="s">
        <v>179</v>
      </c>
      <c r="AF165" s="18" t="s">
        <v>180</v>
      </c>
    </row>
    <row r="166" spans="1:73" ht="21.5" customHeight="1">
      <c r="B166" s="59" t="s">
        <v>215</v>
      </c>
      <c r="C166" s="59"/>
      <c r="D166" s="19" t="s">
        <v>256</v>
      </c>
      <c r="F166" s="19" t="s">
        <v>78</v>
      </c>
      <c r="H166" s="20">
        <v>45735</v>
      </c>
      <c r="I166" s="21">
        <v>6134</v>
      </c>
      <c r="J166" s="22">
        <v>6562.6877999999997</v>
      </c>
      <c r="K166" s="23">
        <v>7889</v>
      </c>
      <c r="L166" s="24">
        <v>40255527.259999998</v>
      </c>
      <c r="M166" s="24">
        <v>496978.63</v>
      </c>
      <c r="N166" s="22">
        <v>3967.56</v>
      </c>
      <c r="O166" s="24">
        <v>24337013.039999999</v>
      </c>
      <c r="P166" s="24">
        <v>281238.52</v>
      </c>
      <c r="Q166" s="25">
        <v>0.4435071315653018</v>
      </c>
      <c r="R166" s="24">
        <v>0</v>
      </c>
      <c r="S166" s="24">
        <v>0</v>
      </c>
      <c r="T166" s="24">
        <v>0</v>
      </c>
      <c r="U166" s="24">
        <v>0</v>
      </c>
      <c r="V166" s="24">
        <v>496978.63</v>
      </c>
      <c r="W166" s="24">
        <v>0</v>
      </c>
      <c r="X166" s="23">
        <v>1.1556E-2</v>
      </c>
      <c r="Y166" s="24">
        <v>-15918514.220000001</v>
      </c>
      <c r="Z166" s="24">
        <v>-215740.11</v>
      </c>
      <c r="AA166" s="24">
        <v>-15918514.220000001</v>
      </c>
      <c r="AB166" s="24">
        <v>-183954.35</v>
      </c>
      <c r="AC166" s="24">
        <v>-31785.759999999998</v>
      </c>
      <c r="AD166" s="24">
        <v>0</v>
      </c>
      <c r="AE166" s="24">
        <v>0</v>
      </c>
      <c r="AF166" s="43">
        <v>45627</v>
      </c>
    </row>
    <row r="168" spans="1:73">
      <c r="O168" s="41">
        <f>N166*I166</f>
        <v>24337013.039999999</v>
      </c>
      <c r="P168" s="41">
        <f>O166*X166</f>
        <v>281238.52269024</v>
      </c>
      <c r="Y168" s="41">
        <f>O166-L166</f>
        <v>-15918514.219999999</v>
      </c>
      <c r="Z168" s="41">
        <f>P166-M166</f>
        <v>-215740.11</v>
      </c>
      <c r="AA168" s="41">
        <f>O166-L166</f>
        <v>-15918514.219999999</v>
      </c>
      <c r="AB168" s="41">
        <f>AA166*X166</f>
        <v>-183954.35032632001</v>
      </c>
      <c r="AC168" s="41">
        <f>Z166-AB166</f>
        <v>-31785.75999999998</v>
      </c>
    </row>
    <row r="172" spans="1:73">
      <c r="A172" s="15" t="s">
        <v>297</v>
      </c>
    </row>
    <row r="173" spans="1:73" s="37" customFormat="1" ht="12.5">
      <c r="A173" s="37" t="s">
        <v>2</v>
      </c>
      <c r="B173" s="37" t="s">
        <v>3</v>
      </c>
      <c r="C173" s="37" t="s">
        <v>4</v>
      </c>
      <c r="D173" s="37" t="s">
        <v>5</v>
      </c>
      <c r="E173" s="38" t="s">
        <v>6</v>
      </c>
      <c r="F173" s="37" t="s">
        <v>7</v>
      </c>
      <c r="G173" s="37" t="s">
        <v>8</v>
      </c>
      <c r="H173" s="37" t="s">
        <v>9</v>
      </c>
      <c r="I173" s="37" t="s">
        <v>10</v>
      </c>
      <c r="J173" s="37" t="s">
        <v>11</v>
      </c>
      <c r="K173" s="38" t="s">
        <v>12</v>
      </c>
      <c r="L173" s="37" t="s">
        <v>13</v>
      </c>
      <c r="M173" s="37" t="s">
        <v>14</v>
      </c>
      <c r="N173" s="37" t="s">
        <v>15</v>
      </c>
      <c r="O173" s="38" t="s">
        <v>16</v>
      </c>
      <c r="P173" s="38" t="s">
        <v>17</v>
      </c>
      <c r="Q173" s="38" t="s">
        <v>18</v>
      </c>
      <c r="R173" s="37" t="s">
        <v>19</v>
      </c>
      <c r="S173" s="38" t="s">
        <v>20</v>
      </c>
      <c r="T173" s="37" t="s">
        <v>21</v>
      </c>
      <c r="U173" s="37" t="s">
        <v>22</v>
      </c>
      <c r="V173" s="37" t="s">
        <v>23</v>
      </c>
      <c r="W173" s="37" t="s">
        <v>24</v>
      </c>
      <c r="X173" s="37" t="s">
        <v>25</v>
      </c>
      <c r="Y173" s="37" t="s">
        <v>26</v>
      </c>
      <c r="Z173" s="37" t="s">
        <v>27</v>
      </c>
      <c r="AA173" s="37" t="s">
        <v>28</v>
      </c>
      <c r="AB173" s="37" t="s">
        <v>29</v>
      </c>
      <c r="AC173" s="38" t="s">
        <v>30</v>
      </c>
      <c r="AD173" s="38" t="s">
        <v>31</v>
      </c>
      <c r="AE173" s="38" t="s">
        <v>32</v>
      </c>
      <c r="AF173" s="38" t="s">
        <v>33</v>
      </c>
      <c r="AG173" s="38" t="s">
        <v>34</v>
      </c>
      <c r="AH173" s="37" t="s">
        <v>35</v>
      </c>
      <c r="AI173" s="37" t="s">
        <v>36</v>
      </c>
      <c r="AJ173" s="37" t="s">
        <v>37</v>
      </c>
      <c r="AK173" s="37" t="s">
        <v>38</v>
      </c>
      <c r="AL173" s="37" t="s">
        <v>39</v>
      </c>
      <c r="AM173" s="39" t="s">
        <v>40</v>
      </c>
      <c r="AN173" s="37" t="s">
        <v>41</v>
      </c>
      <c r="AO173" s="37" t="s">
        <v>42</v>
      </c>
      <c r="AP173" s="37" t="s">
        <v>43</v>
      </c>
      <c r="AQ173" s="37" t="s">
        <v>44</v>
      </c>
      <c r="AR173" s="37" t="s">
        <v>45</v>
      </c>
      <c r="AS173" s="37" t="s">
        <v>46</v>
      </c>
      <c r="AT173" s="38" t="s">
        <v>47</v>
      </c>
      <c r="AU173" s="37" t="s">
        <v>48</v>
      </c>
      <c r="AV173" s="37" t="s">
        <v>49</v>
      </c>
      <c r="AW173" s="37" t="s">
        <v>50</v>
      </c>
      <c r="AX173" s="37" t="s">
        <v>51</v>
      </c>
      <c r="AY173" s="37" t="s">
        <v>52</v>
      </c>
      <c r="AZ173" s="38" t="s">
        <v>53</v>
      </c>
      <c r="BA173" s="37" t="s">
        <v>54</v>
      </c>
      <c r="BB173" s="37" t="s">
        <v>55</v>
      </c>
      <c r="BC173" s="37" t="s">
        <v>56</v>
      </c>
      <c r="BD173" s="37" t="s">
        <v>57</v>
      </c>
      <c r="BE173" s="37" t="s">
        <v>58</v>
      </c>
      <c r="BF173" s="37" t="s">
        <v>59</v>
      </c>
      <c r="BG173" s="37" t="s">
        <v>60</v>
      </c>
      <c r="BH173" s="37" t="s">
        <v>61</v>
      </c>
      <c r="BI173" s="37" t="s">
        <v>62</v>
      </c>
      <c r="BJ173" s="37" t="s">
        <v>63</v>
      </c>
      <c r="BK173" s="37" t="s">
        <v>64</v>
      </c>
      <c r="BL173" s="37" t="s">
        <v>65</v>
      </c>
      <c r="BM173" s="37" t="s">
        <v>66</v>
      </c>
      <c r="BN173" s="37" t="s">
        <v>67</v>
      </c>
      <c r="BO173" s="37" t="s">
        <v>68</v>
      </c>
      <c r="BP173" s="37" t="s">
        <v>69</v>
      </c>
      <c r="BQ173" s="37" t="s">
        <v>70</v>
      </c>
      <c r="BR173" s="37" t="s">
        <v>71</v>
      </c>
      <c r="BS173" s="37" t="s">
        <v>72</v>
      </c>
      <c r="BT173" s="37" t="s">
        <v>73</v>
      </c>
      <c r="BU173" s="37" t="s">
        <v>74</v>
      </c>
    </row>
    <row r="174" spans="1:73" s="2" customFormat="1" ht="15.5">
      <c r="A174" s="1" t="s">
        <v>75</v>
      </c>
      <c r="B174" s="2" t="s">
        <v>76</v>
      </c>
      <c r="C174" s="2" t="s">
        <v>77</v>
      </c>
      <c r="D174" s="2">
        <v>31</v>
      </c>
      <c r="E174" s="3" t="s">
        <v>215</v>
      </c>
      <c r="G174" s="2" t="s">
        <v>78</v>
      </c>
      <c r="H174" s="2" t="s">
        <v>79</v>
      </c>
      <c r="I174" s="2" t="s">
        <v>80</v>
      </c>
      <c r="J174" s="2" t="s">
        <v>81</v>
      </c>
      <c r="K174" s="4" t="s">
        <v>82</v>
      </c>
      <c r="L174" s="4"/>
      <c r="M174" s="5"/>
      <c r="N174" s="6"/>
      <c r="O174" s="4">
        <v>6134</v>
      </c>
      <c r="P174" s="4">
        <v>7889</v>
      </c>
      <c r="Q174" s="7">
        <v>4322.54</v>
      </c>
      <c r="R174" s="1">
        <f>O174*Q174</f>
        <v>26514460.359999999</v>
      </c>
      <c r="S174" s="6">
        <v>1.1556E-2</v>
      </c>
      <c r="T174" s="1">
        <f>R174*S174</f>
        <v>306401.10392015998</v>
      </c>
      <c r="U174" s="8">
        <v>0</v>
      </c>
      <c r="V174" s="8">
        <v>0</v>
      </c>
      <c r="W174" s="1">
        <f>R174+AT174</f>
        <v>26521018.140000001</v>
      </c>
      <c r="X174" s="1">
        <f>W174*S174</f>
        <v>306476.88562583999</v>
      </c>
      <c r="Y174" s="2" t="s">
        <v>77</v>
      </c>
      <c r="Z174" s="2" t="s">
        <v>83</v>
      </c>
      <c r="AA174" s="2" t="s">
        <v>84</v>
      </c>
      <c r="AB174" s="2" t="s">
        <v>85</v>
      </c>
      <c r="AC174" s="4" t="s">
        <v>296</v>
      </c>
      <c r="AD174" s="9">
        <v>45628</v>
      </c>
      <c r="AE174" s="9">
        <v>45628</v>
      </c>
      <c r="AF174" s="9">
        <v>45628</v>
      </c>
      <c r="AG174" s="10">
        <v>45735</v>
      </c>
      <c r="AH174" s="2" t="s">
        <v>87</v>
      </c>
      <c r="AI174" s="2" t="s">
        <v>88</v>
      </c>
      <c r="AJ174" s="2">
        <v>1.1556E-2</v>
      </c>
      <c r="AK174" s="1"/>
      <c r="AM174" s="9"/>
      <c r="AN174" s="8">
        <v>0</v>
      </c>
      <c r="AO174" s="8">
        <v>0</v>
      </c>
      <c r="AR174" s="2" t="s">
        <v>89</v>
      </c>
      <c r="AS174" s="2" t="s">
        <v>78</v>
      </c>
      <c r="AT174" s="5">
        <v>6557.78</v>
      </c>
      <c r="AU174" s="5">
        <v>6557.78</v>
      </c>
      <c r="AV174" s="8">
        <v>1.1556E-2</v>
      </c>
      <c r="AW174" s="8">
        <v>0</v>
      </c>
      <c r="AX174" s="2" t="s">
        <v>90</v>
      </c>
      <c r="AY174" s="2" t="s">
        <v>78</v>
      </c>
      <c r="AZ174" s="4">
        <v>4324.67</v>
      </c>
      <c r="BA174" s="4">
        <v>4324.67</v>
      </c>
      <c r="BB174" s="8">
        <v>1.1556E-2</v>
      </c>
      <c r="BC174" s="2">
        <v>0</v>
      </c>
      <c r="BF174" s="8">
        <v>0</v>
      </c>
      <c r="BG174" s="8">
        <v>0</v>
      </c>
      <c r="BH174" s="8">
        <v>0</v>
      </c>
      <c r="BI174" s="8">
        <v>0</v>
      </c>
      <c r="BL174" s="8">
        <v>0</v>
      </c>
      <c r="BM174" s="8">
        <v>0</v>
      </c>
      <c r="BN174" s="8">
        <v>0</v>
      </c>
      <c r="BO174" s="8">
        <v>0</v>
      </c>
      <c r="BR174" s="8">
        <v>0</v>
      </c>
      <c r="BS174" s="8">
        <v>0</v>
      </c>
      <c r="BT174" s="8">
        <v>0</v>
      </c>
      <c r="BU174" s="8">
        <v>0</v>
      </c>
    </row>
    <row r="179" spans="1:30">
      <c r="A179" s="14" t="s">
        <v>149</v>
      </c>
    </row>
    <row r="180" spans="1:30">
      <c r="A180" s="11" t="s">
        <v>91</v>
      </c>
      <c r="B180" s="11" t="s">
        <v>92</v>
      </c>
      <c r="C180" s="11" t="s">
        <v>93</v>
      </c>
      <c r="D180" s="11" t="s">
        <v>94</v>
      </c>
      <c r="E180" s="11" t="s">
        <v>95</v>
      </c>
      <c r="F180" s="11" t="s">
        <v>96</v>
      </c>
      <c r="G180" s="11" t="s">
        <v>97</v>
      </c>
      <c r="H180" s="11" t="s">
        <v>98</v>
      </c>
      <c r="I180" s="11" t="s">
        <v>99</v>
      </c>
      <c r="J180" s="11" t="s">
        <v>100</v>
      </c>
      <c r="K180" s="11" t="s">
        <v>101</v>
      </c>
      <c r="L180" s="11" t="s">
        <v>102</v>
      </c>
      <c r="M180" s="11" t="s">
        <v>103</v>
      </c>
      <c r="N180" s="11" t="s">
        <v>104</v>
      </c>
      <c r="O180" s="11" t="s">
        <v>105</v>
      </c>
      <c r="P180" s="11" t="s">
        <v>106</v>
      </c>
      <c r="Q180" s="11" t="s">
        <v>107</v>
      </c>
      <c r="R180" s="11" t="s">
        <v>108</v>
      </c>
      <c r="S180" s="11" t="s">
        <v>109</v>
      </c>
      <c r="T180" s="11" t="s">
        <v>110</v>
      </c>
      <c r="U180" s="11" t="s">
        <v>0</v>
      </c>
      <c r="V180" s="11" t="s">
        <v>111</v>
      </c>
      <c r="W180" s="11" t="s">
        <v>112</v>
      </c>
      <c r="X180" s="11" t="s">
        <v>113</v>
      </c>
      <c r="Y180" s="11" t="s">
        <v>114</v>
      </c>
      <c r="Z180" s="11" t="s">
        <v>115</v>
      </c>
      <c r="AA180" s="11" t="s">
        <v>116</v>
      </c>
      <c r="AB180" s="11" t="s">
        <v>117</v>
      </c>
      <c r="AC180" s="11" t="s">
        <v>118</v>
      </c>
      <c r="AD180" s="11" t="s">
        <v>119</v>
      </c>
    </row>
    <row r="181" spans="1:30">
      <c r="A181" t="s">
        <v>75</v>
      </c>
      <c r="B181" t="s">
        <v>120</v>
      </c>
      <c r="C181" t="s">
        <v>275</v>
      </c>
      <c r="D181" t="s">
        <v>275</v>
      </c>
      <c r="E181" t="s">
        <v>298</v>
      </c>
      <c r="F181" t="s">
        <v>299</v>
      </c>
      <c r="G181" t="s">
        <v>121</v>
      </c>
      <c r="H181" t="s">
        <v>260</v>
      </c>
      <c r="I181" t="s">
        <v>279</v>
      </c>
      <c r="J181" t="s">
        <v>280</v>
      </c>
      <c r="K181" t="s">
        <v>281</v>
      </c>
      <c r="L181" t="s">
        <v>282</v>
      </c>
      <c r="M181" t="s">
        <v>280</v>
      </c>
      <c r="N181" t="s">
        <v>78</v>
      </c>
      <c r="O181" t="s">
        <v>127</v>
      </c>
      <c r="P181" s="12">
        <v>0</v>
      </c>
      <c r="Q181" s="12">
        <v>31785.759999999998</v>
      </c>
      <c r="R181">
        <v>1.1556E-2</v>
      </c>
      <c r="S181" t="s">
        <v>128</v>
      </c>
      <c r="T181" t="s">
        <v>120</v>
      </c>
      <c r="U181" t="s">
        <v>215</v>
      </c>
      <c r="V181" t="s">
        <v>80</v>
      </c>
      <c r="W181" t="s">
        <v>296</v>
      </c>
      <c r="X181" t="s">
        <v>77</v>
      </c>
      <c r="Y181" t="s">
        <v>120</v>
      </c>
      <c r="Z181" t="s">
        <v>300</v>
      </c>
      <c r="AA181" t="s">
        <v>129</v>
      </c>
      <c r="AB181" t="s">
        <v>129</v>
      </c>
      <c r="AC181" t="s">
        <v>79</v>
      </c>
      <c r="AD181" t="s">
        <v>301</v>
      </c>
    </row>
    <row r="182" spans="1:30">
      <c r="A182" t="s">
        <v>75</v>
      </c>
      <c r="B182" t="s">
        <v>120</v>
      </c>
      <c r="C182" t="s">
        <v>275</v>
      </c>
      <c r="D182" t="s">
        <v>275</v>
      </c>
      <c r="E182" t="s">
        <v>302</v>
      </c>
      <c r="F182" t="s">
        <v>299</v>
      </c>
      <c r="G182" t="s">
        <v>121</v>
      </c>
      <c r="H182" t="s">
        <v>140</v>
      </c>
      <c r="I182" t="s">
        <v>285</v>
      </c>
      <c r="J182" t="s">
        <v>286</v>
      </c>
      <c r="K182" t="s">
        <v>287</v>
      </c>
      <c r="L182" t="s">
        <v>288</v>
      </c>
      <c r="M182" t="s">
        <v>286</v>
      </c>
      <c r="N182" t="s">
        <v>78</v>
      </c>
      <c r="O182" t="s">
        <v>127</v>
      </c>
      <c r="P182" s="12">
        <v>0</v>
      </c>
      <c r="Q182" s="12">
        <v>-31785.759999999998</v>
      </c>
      <c r="R182">
        <v>1.1556E-2</v>
      </c>
      <c r="S182" t="s">
        <v>128</v>
      </c>
      <c r="T182" t="s">
        <v>120</v>
      </c>
      <c r="U182" t="s">
        <v>215</v>
      </c>
      <c r="V182" t="s">
        <v>80</v>
      </c>
      <c r="W182" t="s">
        <v>296</v>
      </c>
      <c r="X182" t="s">
        <v>77</v>
      </c>
      <c r="Y182" t="s">
        <v>120</v>
      </c>
      <c r="Z182" t="s">
        <v>300</v>
      </c>
      <c r="AA182" t="s">
        <v>129</v>
      </c>
      <c r="AB182" t="s">
        <v>129</v>
      </c>
      <c r="AC182" t="s">
        <v>79</v>
      </c>
      <c r="AD182" t="s">
        <v>301</v>
      </c>
    </row>
    <row r="183" spans="1:30">
      <c r="A183" t="s">
        <v>75</v>
      </c>
      <c r="B183" t="s">
        <v>120</v>
      </c>
      <c r="C183" t="s">
        <v>275</v>
      </c>
      <c r="D183" t="s">
        <v>275</v>
      </c>
      <c r="E183" t="s">
        <v>303</v>
      </c>
      <c r="F183" t="s">
        <v>299</v>
      </c>
      <c r="G183" t="s">
        <v>121</v>
      </c>
      <c r="H183" t="s">
        <v>140</v>
      </c>
      <c r="I183" t="s">
        <v>269</v>
      </c>
      <c r="J183" t="s">
        <v>270</v>
      </c>
      <c r="K183" t="s">
        <v>271</v>
      </c>
      <c r="L183" t="s">
        <v>272</v>
      </c>
      <c r="M183" t="s">
        <v>270</v>
      </c>
      <c r="N183" t="s">
        <v>78</v>
      </c>
      <c r="O183" t="s">
        <v>135</v>
      </c>
      <c r="P183" s="12">
        <v>-15918514.220000001</v>
      </c>
      <c r="Q183" s="12">
        <v>-183954.35</v>
      </c>
      <c r="R183">
        <v>1.1556E-2</v>
      </c>
      <c r="S183" t="s">
        <v>128</v>
      </c>
      <c r="T183" t="s">
        <v>120</v>
      </c>
      <c r="U183" t="s">
        <v>215</v>
      </c>
      <c r="V183" t="s">
        <v>80</v>
      </c>
      <c r="W183" t="s">
        <v>296</v>
      </c>
      <c r="X183" t="s">
        <v>77</v>
      </c>
      <c r="Y183" t="s">
        <v>120</v>
      </c>
      <c r="Z183" t="s">
        <v>304</v>
      </c>
      <c r="AA183" t="s">
        <v>129</v>
      </c>
      <c r="AB183" t="s">
        <v>129</v>
      </c>
      <c r="AC183" t="s">
        <v>79</v>
      </c>
      <c r="AD183" t="s">
        <v>301</v>
      </c>
    </row>
    <row r="184" spans="1:30">
      <c r="A184" t="s">
        <v>75</v>
      </c>
      <c r="B184" t="s">
        <v>120</v>
      </c>
      <c r="C184" t="s">
        <v>275</v>
      </c>
      <c r="D184" t="s">
        <v>275</v>
      </c>
      <c r="E184" t="s">
        <v>305</v>
      </c>
      <c r="F184" t="s">
        <v>299</v>
      </c>
      <c r="G184" t="s">
        <v>121</v>
      </c>
      <c r="H184" t="s">
        <v>260</v>
      </c>
      <c r="I184" t="s">
        <v>261</v>
      </c>
      <c r="J184" t="s">
        <v>262</v>
      </c>
      <c r="K184" t="s">
        <v>263</v>
      </c>
      <c r="L184" t="s">
        <v>264</v>
      </c>
      <c r="M184" t="s">
        <v>262</v>
      </c>
      <c r="N184" t="s">
        <v>78</v>
      </c>
      <c r="O184" t="s">
        <v>127</v>
      </c>
      <c r="P184" s="12">
        <v>15918514.220000001</v>
      </c>
      <c r="Q184" s="12">
        <v>183954.35</v>
      </c>
      <c r="R184">
        <v>1.1556E-2</v>
      </c>
      <c r="S184" t="s">
        <v>128</v>
      </c>
      <c r="T184" t="s">
        <v>120</v>
      </c>
      <c r="U184" t="s">
        <v>215</v>
      </c>
      <c r="V184" t="s">
        <v>80</v>
      </c>
      <c r="W184" t="s">
        <v>296</v>
      </c>
      <c r="X184" t="s">
        <v>77</v>
      </c>
      <c r="Y184" t="s">
        <v>120</v>
      </c>
      <c r="Z184" t="s">
        <v>304</v>
      </c>
      <c r="AA184" t="s">
        <v>129</v>
      </c>
      <c r="AB184" t="s">
        <v>129</v>
      </c>
      <c r="AC184" t="s">
        <v>79</v>
      </c>
      <c r="AD184" t="s">
        <v>301</v>
      </c>
    </row>
    <row r="185" spans="1:30">
      <c r="A185" t="s">
        <v>75</v>
      </c>
      <c r="B185" t="s">
        <v>120</v>
      </c>
      <c r="C185" t="s">
        <v>275</v>
      </c>
      <c r="D185" t="s">
        <v>275</v>
      </c>
      <c r="E185" t="s">
        <v>306</v>
      </c>
      <c r="F185" t="s">
        <v>299</v>
      </c>
      <c r="G185" t="s">
        <v>121</v>
      </c>
      <c r="H185" t="s">
        <v>260</v>
      </c>
      <c r="I185" t="s">
        <v>307</v>
      </c>
      <c r="J185" t="s">
        <v>308</v>
      </c>
      <c r="K185" t="s">
        <v>309</v>
      </c>
      <c r="L185" t="s">
        <v>310</v>
      </c>
      <c r="M185" t="s">
        <v>308</v>
      </c>
      <c r="N185" t="s">
        <v>78</v>
      </c>
      <c r="O185" t="s">
        <v>127</v>
      </c>
      <c r="P185" s="12">
        <v>0</v>
      </c>
      <c r="Q185" s="12">
        <v>-31785.759999999998</v>
      </c>
      <c r="R185">
        <v>1.1556E-2</v>
      </c>
      <c r="S185" t="s">
        <v>128</v>
      </c>
      <c r="T185" t="s">
        <v>120</v>
      </c>
      <c r="U185" t="s">
        <v>215</v>
      </c>
      <c r="V185" t="s">
        <v>80</v>
      </c>
      <c r="W185" t="s">
        <v>296</v>
      </c>
      <c r="X185" t="s">
        <v>77</v>
      </c>
      <c r="Y185" t="s">
        <v>120</v>
      </c>
      <c r="Z185" t="s">
        <v>311</v>
      </c>
      <c r="AA185" t="s">
        <v>129</v>
      </c>
      <c r="AB185" t="s">
        <v>129</v>
      </c>
      <c r="AC185" t="s">
        <v>79</v>
      </c>
      <c r="AD185" t="s">
        <v>301</v>
      </c>
    </row>
    <row r="186" spans="1:30">
      <c r="A186" t="s">
        <v>75</v>
      </c>
      <c r="B186" t="s">
        <v>120</v>
      </c>
      <c r="C186" t="s">
        <v>275</v>
      </c>
      <c r="D186" t="s">
        <v>275</v>
      </c>
      <c r="E186" t="s">
        <v>312</v>
      </c>
      <c r="F186" t="s">
        <v>299</v>
      </c>
      <c r="G186" t="s">
        <v>121</v>
      </c>
      <c r="H186" t="s">
        <v>260</v>
      </c>
      <c r="I186" t="s">
        <v>313</v>
      </c>
      <c r="J186" t="s">
        <v>314</v>
      </c>
      <c r="K186" t="s">
        <v>315</v>
      </c>
      <c r="L186" t="s">
        <v>316</v>
      </c>
      <c r="M186" t="s">
        <v>314</v>
      </c>
      <c r="N186" t="s">
        <v>78</v>
      </c>
      <c r="O186" t="s">
        <v>135</v>
      </c>
      <c r="P186" s="12">
        <v>-13741066.9</v>
      </c>
      <c r="Q186" s="12">
        <v>-158791.76999999999</v>
      </c>
      <c r="R186">
        <v>1.1556E-2</v>
      </c>
      <c r="S186" t="s">
        <v>128</v>
      </c>
      <c r="U186" t="s">
        <v>215</v>
      </c>
      <c r="V186" t="s">
        <v>80</v>
      </c>
      <c r="W186" t="s">
        <v>296</v>
      </c>
      <c r="X186" t="s">
        <v>77</v>
      </c>
      <c r="Y186" t="s">
        <v>120</v>
      </c>
      <c r="Z186" t="s">
        <v>317</v>
      </c>
      <c r="AA186" t="s">
        <v>129</v>
      </c>
      <c r="AB186" t="s">
        <v>129</v>
      </c>
      <c r="AC186" t="s">
        <v>79</v>
      </c>
      <c r="AD186" t="s">
        <v>301</v>
      </c>
    </row>
    <row r="187" spans="1:30">
      <c r="A187" t="s">
        <v>75</v>
      </c>
      <c r="B187" t="s">
        <v>120</v>
      </c>
      <c r="C187" t="s">
        <v>275</v>
      </c>
      <c r="D187" t="s">
        <v>275</v>
      </c>
      <c r="E187" t="s">
        <v>318</v>
      </c>
      <c r="F187" t="s">
        <v>299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124</v>
      </c>
      <c r="N187" t="s">
        <v>78</v>
      </c>
      <c r="O187" t="s">
        <v>127</v>
      </c>
      <c r="P187" s="12">
        <v>4324.67</v>
      </c>
      <c r="Q187" s="12">
        <v>49.98</v>
      </c>
      <c r="R187">
        <v>1.1556E-2</v>
      </c>
      <c r="S187" t="s">
        <v>128</v>
      </c>
      <c r="T187" t="s">
        <v>120</v>
      </c>
      <c r="U187" t="s">
        <v>215</v>
      </c>
      <c r="V187" t="s">
        <v>80</v>
      </c>
      <c r="W187" t="s">
        <v>296</v>
      </c>
      <c r="X187" t="s">
        <v>77</v>
      </c>
      <c r="Y187" t="s">
        <v>120</v>
      </c>
      <c r="Z187" t="s">
        <v>319</v>
      </c>
      <c r="AA187" t="s">
        <v>129</v>
      </c>
      <c r="AB187" t="s">
        <v>129</v>
      </c>
      <c r="AC187" t="s">
        <v>79</v>
      </c>
      <c r="AD187" t="s">
        <v>301</v>
      </c>
    </row>
    <row r="188" spans="1:30">
      <c r="A188" t="s">
        <v>75</v>
      </c>
      <c r="B188" t="s">
        <v>120</v>
      </c>
      <c r="C188" t="s">
        <v>275</v>
      </c>
      <c r="D188" t="s">
        <v>275</v>
      </c>
      <c r="E188" t="s">
        <v>320</v>
      </c>
      <c r="F188" t="s">
        <v>299</v>
      </c>
      <c r="G188" t="s">
        <v>121</v>
      </c>
      <c r="H188" t="s">
        <v>130</v>
      </c>
      <c r="I188" t="s">
        <v>131</v>
      </c>
      <c r="J188" t="s">
        <v>132</v>
      </c>
      <c r="K188" t="s">
        <v>133</v>
      </c>
      <c r="L188" t="s">
        <v>134</v>
      </c>
      <c r="M188" t="s">
        <v>132</v>
      </c>
      <c r="N188" t="s">
        <v>78</v>
      </c>
      <c r="O188" t="s">
        <v>135</v>
      </c>
      <c r="P188" s="12">
        <v>-4324.67</v>
      </c>
      <c r="Q188" s="12">
        <v>-49.98</v>
      </c>
      <c r="R188">
        <v>1.1556E-2</v>
      </c>
      <c r="S188" t="s">
        <v>128</v>
      </c>
      <c r="T188" t="s">
        <v>120</v>
      </c>
      <c r="U188" t="s">
        <v>215</v>
      </c>
      <c r="V188" t="s">
        <v>80</v>
      </c>
      <c r="W188" t="s">
        <v>296</v>
      </c>
      <c r="X188" t="s">
        <v>77</v>
      </c>
      <c r="Y188" t="s">
        <v>120</v>
      </c>
      <c r="Z188" t="s">
        <v>321</v>
      </c>
      <c r="AA188" t="s">
        <v>129</v>
      </c>
      <c r="AB188" t="s">
        <v>129</v>
      </c>
      <c r="AC188" t="s">
        <v>79</v>
      </c>
      <c r="AD188" t="s">
        <v>301</v>
      </c>
    </row>
    <row r="189" spans="1:30">
      <c r="A189" t="s">
        <v>75</v>
      </c>
      <c r="B189" t="s">
        <v>120</v>
      </c>
      <c r="C189" t="s">
        <v>275</v>
      </c>
      <c r="D189" t="s">
        <v>275</v>
      </c>
      <c r="E189" t="s">
        <v>322</v>
      </c>
      <c r="F189" t="s">
        <v>299</v>
      </c>
      <c r="G189" t="s">
        <v>121</v>
      </c>
      <c r="H189" t="s">
        <v>122</v>
      </c>
      <c r="I189" t="s">
        <v>224</v>
      </c>
      <c r="J189" t="s">
        <v>225</v>
      </c>
      <c r="K189" t="s">
        <v>226</v>
      </c>
      <c r="L189" t="s">
        <v>227</v>
      </c>
      <c r="M189" t="s">
        <v>225</v>
      </c>
      <c r="N189" t="s">
        <v>78</v>
      </c>
      <c r="O189" t="s">
        <v>127</v>
      </c>
      <c r="P189" s="12">
        <v>6557.78</v>
      </c>
      <c r="Q189" s="12">
        <v>75.78</v>
      </c>
      <c r="R189">
        <v>1.1556E-2</v>
      </c>
      <c r="S189" t="s">
        <v>128</v>
      </c>
      <c r="T189" t="s">
        <v>120</v>
      </c>
      <c r="U189" t="s">
        <v>215</v>
      </c>
      <c r="V189" t="s">
        <v>80</v>
      </c>
      <c r="W189" t="s">
        <v>296</v>
      </c>
      <c r="X189" t="s">
        <v>77</v>
      </c>
      <c r="Y189" t="s">
        <v>120</v>
      </c>
      <c r="Z189" t="s">
        <v>323</v>
      </c>
      <c r="AA189" t="s">
        <v>129</v>
      </c>
      <c r="AB189" t="s">
        <v>129</v>
      </c>
      <c r="AC189" t="s">
        <v>79</v>
      </c>
      <c r="AD189" t="s">
        <v>301</v>
      </c>
    </row>
    <row r="190" spans="1:30">
      <c r="A190" t="s">
        <v>75</v>
      </c>
      <c r="B190" t="s">
        <v>120</v>
      </c>
      <c r="C190" t="s">
        <v>275</v>
      </c>
      <c r="D190" t="s">
        <v>275</v>
      </c>
      <c r="E190" t="s">
        <v>324</v>
      </c>
      <c r="F190" t="s">
        <v>299</v>
      </c>
      <c r="G190" t="s">
        <v>121</v>
      </c>
      <c r="H190" t="s">
        <v>130</v>
      </c>
      <c r="I190" t="s">
        <v>230</v>
      </c>
      <c r="J190" t="s">
        <v>231</v>
      </c>
      <c r="K190" t="s">
        <v>232</v>
      </c>
      <c r="L190" t="s">
        <v>233</v>
      </c>
      <c r="M190" t="s">
        <v>231</v>
      </c>
      <c r="N190" t="s">
        <v>78</v>
      </c>
      <c r="O190" t="s">
        <v>135</v>
      </c>
      <c r="P190" s="12">
        <v>-6557.78</v>
      </c>
      <c r="Q190" s="12">
        <v>-75.78</v>
      </c>
      <c r="R190">
        <v>1.1556E-2</v>
      </c>
      <c r="S190" t="s">
        <v>128</v>
      </c>
      <c r="T190" t="s">
        <v>120</v>
      </c>
      <c r="U190" t="s">
        <v>215</v>
      </c>
      <c r="V190" t="s">
        <v>80</v>
      </c>
      <c r="W190" t="s">
        <v>296</v>
      </c>
      <c r="X190" t="s">
        <v>77</v>
      </c>
      <c r="Y190" t="s">
        <v>120</v>
      </c>
      <c r="Z190" t="s">
        <v>325</v>
      </c>
      <c r="AA190" t="s">
        <v>129</v>
      </c>
      <c r="AB190" t="s">
        <v>129</v>
      </c>
      <c r="AC190" t="s">
        <v>79</v>
      </c>
      <c r="AD190" t="s">
        <v>301</v>
      </c>
    </row>
    <row r="191" spans="1:30">
      <c r="A191" t="s">
        <v>75</v>
      </c>
      <c r="B191" t="s">
        <v>120</v>
      </c>
      <c r="C191" t="s">
        <v>275</v>
      </c>
      <c r="D191" t="s">
        <v>275</v>
      </c>
      <c r="E191" t="s">
        <v>326</v>
      </c>
      <c r="F191" t="s">
        <v>299</v>
      </c>
      <c r="G191" t="s">
        <v>121</v>
      </c>
      <c r="H191" t="s">
        <v>140</v>
      </c>
      <c r="I191" t="s">
        <v>145</v>
      </c>
      <c r="J191" t="s">
        <v>146</v>
      </c>
      <c r="K191" t="s">
        <v>147</v>
      </c>
      <c r="L191" t="s">
        <v>148</v>
      </c>
      <c r="M191" t="s">
        <v>146</v>
      </c>
      <c r="N191" t="s">
        <v>78</v>
      </c>
      <c r="O191" t="s">
        <v>135</v>
      </c>
      <c r="P191" s="12">
        <v>-26514460.359999999</v>
      </c>
      <c r="Q191" s="12">
        <v>-306401.09999999998</v>
      </c>
      <c r="R191">
        <v>1.1556E-2</v>
      </c>
      <c r="S191" t="s">
        <v>128</v>
      </c>
      <c r="T191" t="s">
        <v>120</v>
      </c>
      <c r="U191" t="s">
        <v>215</v>
      </c>
      <c r="V191" t="s">
        <v>80</v>
      </c>
      <c r="W191" t="s">
        <v>296</v>
      </c>
      <c r="X191" t="s">
        <v>77</v>
      </c>
      <c r="Y191" t="s">
        <v>120</v>
      </c>
      <c r="Z191" t="s">
        <v>327</v>
      </c>
      <c r="AA191" t="s">
        <v>129</v>
      </c>
      <c r="AB191" t="s">
        <v>129</v>
      </c>
      <c r="AC191" t="s">
        <v>79</v>
      </c>
      <c r="AD191" t="s">
        <v>301</v>
      </c>
    </row>
    <row r="192" spans="1:30">
      <c r="A192" t="s">
        <v>75</v>
      </c>
      <c r="B192" t="s">
        <v>120</v>
      </c>
      <c r="C192" t="s">
        <v>275</v>
      </c>
      <c r="D192" t="s">
        <v>275</v>
      </c>
      <c r="E192" t="s">
        <v>328</v>
      </c>
      <c r="F192" t="s">
        <v>299</v>
      </c>
      <c r="G192" t="s">
        <v>121</v>
      </c>
      <c r="H192" t="s">
        <v>140</v>
      </c>
      <c r="I192" t="s">
        <v>141</v>
      </c>
      <c r="J192" t="s">
        <v>142</v>
      </c>
      <c r="K192" t="s">
        <v>143</v>
      </c>
      <c r="L192" t="s">
        <v>144</v>
      </c>
      <c r="M192" t="s">
        <v>142</v>
      </c>
      <c r="N192" t="s">
        <v>78</v>
      </c>
      <c r="O192" t="s">
        <v>127</v>
      </c>
      <c r="P192" s="12">
        <v>40255527.259999998</v>
      </c>
      <c r="Q192" s="12">
        <v>496978.63</v>
      </c>
      <c r="R192">
        <v>1.1556E-2</v>
      </c>
      <c r="S192" t="s">
        <v>128</v>
      </c>
      <c r="T192" t="s">
        <v>120</v>
      </c>
      <c r="U192" t="s">
        <v>215</v>
      </c>
      <c r="V192" t="s">
        <v>80</v>
      </c>
      <c r="W192" t="s">
        <v>296</v>
      </c>
      <c r="X192" t="s">
        <v>77</v>
      </c>
      <c r="Y192" t="s">
        <v>120</v>
      </c>
      <c r="Z192" t="s">
        <v>329</v>
      </c>
      <c r="AA192" t="s">
        <v>129</v>
      </c>
      <c r="AB192" t="s">
        <v>129</v>
      </c>
      <c r="AC192" t="s">
        <v>79</v>
      </c>
      <c r="AD192" t="s">
        <v>301</v>
      </c>
    </row>
    <row r="194" spans="1:46">
      <c r="O194" s="15" t="s">
        <v>330</v>
      </c>
      <c r="P194" s="44">
        <f>L166</f>
        <v>40255527.259999998</v>
      </c>
    </row>
    <row r="195" spans="1:46">
      <c r="O195" s="15" t="s">
        <v>331</v>
      </c>
      <c r="P195" s="13">
        <f>O174*Q174</f>
        <v>26514460.359999999</v>
      </c>
    </row>
    <row r="197" spans="1:46">
      <c r="O197" s="15" t="s">
        <v>332</v>
      </c>
      <c r="P197" s="13">
        <f>P195-P194</f>
        <v>-13741066.899999999</v>
      </c>
    </row>
    <row r="200" spans="1:46">
      <c r="A200" s="15" t="s">
        <v>181</v>
      </c>
    </row>
    <row r="201" spans="1:46" ht="32" customHeight="1">
      <c r="A201" s="26" t="s">
        <v>91</v>
      </c>
      <c r="B201" s="26" t="s">
        <v>182</v>
      </c>
      <c r="C201" s="26" t="s">
        <v>183</v>
      </c>
      <c r="D201" s="26" t="s">
        <v>184</v>
      </c>
      <c r="E201" s="26" t="s">
        <v>94</v>
      </c>
      <c r="F201" s="26" t="s">
        <v>185</v>
      </c>
      <c r="G201" s="26" t="s">
        <v>186</v>
      </c>
      <c r="H201" s="26" t="s">
        <v>187</v>
      </c>
      <c r="I201" s="26" t="s">
        <v>0</v>
      </c>
      <c r="J201" s="26" t="s">
        <v>188</v>
      </c>
      <c r="K201" s="27" t="s">
        <v>159</v>
      </c>
      <c r="L201" s="26" t="s">
        <v>109</v>
      </c>
      <c r="M201" s="64" t="s">
        <v>189</v>
      </c>
      <c r="N201" s="64"/>
      <c r="O201" s="64" t="s">
        <v>172</v>
      </c>
      <c r="P201" s="64"/>
      <c r="Q201" s="64" t="s">
        <v>113</v>
      </c>
      <c r="R201" s="64"/>
      <c r="S201" s="64" t="s">
        <v>190</v>
      </c>
      <c r="T201" s="64"/>
      <c r="U201" s="26" t="s">
        <v>191</v>
      </c>
      <c r="V201" s="26" t="s">
        <v>192</v>
      </c>
      <c r="W201" s="26" t="s">
        <v>193</v>
      </c>
      <c r="X201" s="62" t="s">
        <v>157</v>
      </c>
      <c r="Y201" s="62"/>
      <c r="Z201" s="62" t="s">
        <v>194</v>
      </c>
      <c r="AA201" s="62"/>
      <c r="AB201" s="62" t="s">
        <v>195</v>
      </c>
      <c r="AC201" s="62"/>
      <c r="AD201" s="27" t="s">
        <v>196</v>
      </c>
      <c r="AE201" s="27" t="s">
        <v>197</v>
      </c>
      <c r="AF201" s="27" t="s">
        <v>198</v>
      </c>
      <c r="AG201" s="27" t="s">
        <v>199</v>
      </c>
      <c r="AH201" s="27" t="s">
        <v>200</v>
      </c>
      <c r="AI201" s="27" t="s">
        <v>201</v>
      </c>
      <c r="AJ201" s="27" t="s">
        <v>202</v>
      </c>
      <c r="AK201" s="27" t="s">
        <v>203</v>
      </c>
      <c r="AL201" s="27" t="s">
        <v>204</v>
      </c>
      <c r="AM201" s="27" t="s">
        <v>205</v>
      </c>
      <c r="AN201" s="27" t="s">
        <v>206</v>
      </c>
      <c r="AO201" s="28" t="s">
        <v>207</v>
      </c>
      <c r="AP201" s="29"/>
      <c r="AQ201" s="62" t="s">
        <v>208</v>
      </c>
      <c r="AR201" s="62"/>
      <c r="AS201" s="30" t="s">
        <v>209</v>
      </c>
    </row>
    <row r="202" spans="1:46" ht="15" customHeight="1">
      <c r="A202" s="63" t="s">
        <v>253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</row>
    <row r="203" spans="1:46" ht="27" customHeight="1">
      <c r="A203" s="19" t="s">
        <v>75</v>
      </c>
      <c r="B203" s="19" t="s">
        <v>210</v>
      </c>
      <c r="C203" s="19" t="s">
        <v>254</v>
      </c>
      <c r="D203" s="19" t="s">
        <v>255</v>
      </c>
      <c r="E203" s="20">
        <v>45628</v>
      </c>
      <c r="F203" s="20">
        <v>45628</v>
      </c>
      <c r="G203" s="19" t="s">
        <v>299</v>
      </c>
      <c r="H203" s="19" t="s">
        <v>296</v>
      </c>
      <c r="I203" s="19" t="s">
        <v>215</v>
      </c>
      <c r="J203" s="19" t="s">
        <v>256</v>
      </c>
      <c r="K203" s="24">
        <v>7889</v>
      </c>
      <c r="L203" s="31" t="s">
        <v>128</v>
      </c>
      <c r="N203" s="60" t="s">
        <v>211</v>
      </c>
      <c r="O203" s="60"/>
      <c r="P203" s="60" t="s">
        <v>83</v>
      </c>
      <c r="Q203" s="60"/>
      <c r="R203" s="60" t="s">
        <v>77</v>
      </c>
      <c r="S203" s="60"/>
      <c r="T203" s="59" t="s">
        <v>212</v>
      </c>
      <c r="U203" s="59"/>
      <c r="Y203" s="65">
        <v>6134</v>
      </c>
      <c r="Z203" s="65"/>
      <c r="AA203" s="66">
        <v>4322.54</v>
      </c>
      <c r="AB203" s="66"/>
      <c r="AC203" s="24">
        <v>306401.09999999998</v>
      </c>
      <c r="AD203" s="24" t="s">
        <v>213</v>
      </c>
      <c r="AE203" s="24">
        <v>75.78</v>
      </c>
      <c r="AF203" s="23">
        <v>2.4732287188264011E-2</v>
      </c>
      <c r="AG203" s="24">
        <v>49.98</v>
      </c>
      <c r="AH203" s="24">
        <v>0</v>
      </c>
      <c r="AI203" s="24">
        <v>0</v>
      </c>
      <c r="AJ203" s="24">
        <v>26514460.359999999</v>
      </c>
      <c r="AK203" s="24">
        <v>306401.09999999998</v>
      </c>
      <c r="AL203" s="24">
        <v>40255527.259999998</v>
      </c>
      <c r="AM203" s="24">
        <v>496978.63</v>
      </c>
      <c r="AN203" s="24">
        <v>-13741066.9</v>
      </c>
      <c r="AO203" s="24">
        <v>-158791.76999999999</v>
      </c>
      <c r="AQ203" s="65">
        <v>0</v>
      </c>
      <c r="AR203" s="65"/>
      <c r="AS203" s="24">
        <v>0</v>
      </c>
    </row>
    <row r="205" spans="1:46">
      <c r="AB205" s="13">
        <f>Y203*AA203</f>
        <v>26514460.359999999</v>
      </c>
      <c r="AC205" s="13">
        <f>AB205*R192</f>
        <v>306401.10392015998</v>
      </c>
      <c r="AJ205" s="13">
        <f>AB205</f>
        <v>26514460.359999999</v>
      </c>
      <c r="AK205" s="13">
        <f>AC205</f>
        <v>306401.10392015998</v>
      </c>
      <c r="AL205" s="12">
        <f>P192</f>
        <v>40255527.259999998</v>
      </c>
      <c r="AM205" s="12">
        <f>Q192</f>
        <v>496978.63</v>
      </c>
      <c r="AN205" s="13">
        <f>AJ205-AL205</f>
        <v>-13741066.899999999</v>
      </c>
      <c r="AO205" s="13">
        <f>AN205*R192</f>
        <v>-158791.76909639998</v>
      </c>
    </row>
  </sheetData>
  <mergeCells count="45">
    <mergeCell ref="AB201:AC201"/>
    <mergeCell ref="AQ201:AR201"/>
    <mergeCell ref="A202:AT202"/>
    <mergeCell ref="N203:O203"/>
    <mergeCell ref="P203:Q203"/>
    <mergeCell ref="R203:S203"/>
    <mergeCell ref="T203:U203"/>
    <mergeCell ref="Y203:Z203"/>
    <mergeCell ref="AA203:AB203"/>
    <mergeCell ref="AQ203:AR203"/>
    <mergeCell ref="O201:P201"/>
    <mergeCell ref="Q201:R201"/>
    <mergeCell ref="S201:T201"/>
    <mergeCell ref="X201:Y201"/>
    <mergeCell ref="Z201:AA201"/>
    <mergeCell ref="B106:C106"/>
    <mergeCell ref="B107:C107"/>
    <mergeCell ref="B165:C165"/>
    <mergeCell ref="B166:C166"/>
    <mergeCell ref="M201:N201"/>
    <mergeCell ref="R77:S77"/>
    <mergeCell ref="T77:U77"/>
    <mergeCell ref="Y77:Z77"/>
    <mergeCell ref="AA77:AB77"/>
    <mergeCell ref="AQ77:AR77"/>
    <mergeCell ref="R76:S76"/>
    <mergeCell ref="T76:U76"/>
    <mergeCell ref="Y76:Z76"/>
    <mergeCell ref="AA76:AB76"/>
    <mergeCell ref="AQ76:AR76"/>
    <mergeCell ref="X74:Y74"/>
    <mergeCell ref="Z74:AA74"/>
    <mergeCell ref="AB74:AC74"/>
    <mergeCell ref="AQ74:AR74"/>
    <mergeCell ref="A75:AT75"/>
    <mergeCell ref="M74:N74"/>
    <mergeCell ref="O74:P74"/>
    <mergeCell ref="Q74:R74"/>
    <mergeCell ref="S74:T74"/>
    <mergeCell ref="B68:C68"/>
    <mergeCell ref="B69:C69"/>
    <mergeCell ref="N76:O76"/>
    <mergeCell ref="P76:Q76"/>
    <mergeCell ref="N77:O77"/>
    <mergeCell ref="P77:Q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E9E3-0DFA-4DD0-88D3-38DCDA19C476}">
  <dimension ref="A1:BU202"/>
  <sheetViews>
    <sheetView workbookViewId="0">
      <selection activeCell="N10" sqref="N10"/>
    </sheetView>
  </sheetViews>
  <sheetFormatPr defaultRowHeight="14.5"/>
  <cols>
    <col min="5" max="5" width="11.36328125" customWidth="1"/>
    <col min="6" max="6" width="12" customWidth="1"/>
    <col min="8" max="8" width="9.90625" customWidth="1"/>
    <col min="9" max="9" width="9.54296875" bestFit="1" customWidth="1"/>
    <col min="11" max="11" width="11" customWidth="1"/>
    <col min="12" max="12" width="13.08984375" customWidth="1"/>
    <col min="13" max="13" width="11.36328125" customWidth="1"/>
    <col min="15" max="15" width="13.6328125" customWidth="1"/>
    <col min="16" max="16" width="15.36328125" customWidth="1"/>
    <col min="17" max="17" width="11.81640625" customWidth="1"/>
    <col min="20" max="20" width="11.36328125" customWidth="1"/>
    <col min="22" max="22" width="11.36328125" customWidth="1"/>
    <col min="25" max="25" width="12" customWidth="1"/>
    <col min="26" max="27" width="13.7265625" customWidth="1"/>
    <col min="29" max="29" width="14.1796875" customWidth="1"/>
    <col min="32" max="32" width="9.7265625" customWidth="1"/>
    <col min="36" max="36" width="13.36328125" customWidth="1"/>
    <col min="37" max="37" width="10.453125" bestFit="1" customWidth="1"/>
    <col min="38" max="38" width="14.26953125" customWidth="1"/>
    <col min="39" max="40" width="10.453125" bestFit="1" customWidth="1"/>
  </cols>
  <sheetData>
    <row r="1" spans="1:1">
      <c r="A1" s="15" t="s">
        <v>0</v>
      </c>
    </row>
    <row r="23" spans="1:73">
      <c r="A23" s="15" t="s">
        <v>333</v>
      </c>
    </row>
    <row r="24" spans="1:73" s="37" customFormat="1" ht="12.5">
      <c r="A24" s="37" t="s">
        <v>2</v>
      </c>
      <c r="B24" s="37" t="s">
        <v>3</v>
      </c>
      <c r="C24" s="37" t="s">
        <v>4</v>
      </c>
      <c r="D24" s="37" t="s">
        <v>5</v>
      </c>
      <c r="E24" s="38" t="s">
        <v>6</v>
      </c>
      <c r="F24" s="37" t="s">
        <v>7</v>
      </c>
      <c r="G24" s="37" t="s">
        <v>8</v>
      </c>
      <c r="H24" s="37" t="s">
        <v>9</v>
      </c>
      <c r="I24" s="37" t="s">
        <v>10</v>
      </c>
      <c r="J24" s="37" t="s">
        <v>11</v>
      </c>
      <c r="K24" s="38" t="s">
        <v>12</v>
      </c>
      <c r="L24" s="37" t="s">
        <v>13</v>
      </c>
      <c r="M24" s="37" t="s">
        <v>14</v>
      </c>
      <c r="N24" s="37" t="s">
        <v>15</v>
      </c>
      <c r="O24" s="38" t="s">
        <v>16</v>
      </c>
      <c r="P24" s="38" t="s">
        <v>17</v>
      </c>
      <c r="Q24" s="38" t="s">
        <v>18</v>
      </c>
      <c r="R24" s="37" t="s">
        <v>19</v>
      </c>
      <c r="S24" s="38" t="s">
        <v>20</v>
      </c>
      <c r="T24" s="37" t="s">
        <v>21</v>
      </c>
      <c r="U24" s="37" t="s">
        <v>22</v>
      </c>
      <c r="V24" s="37" t="s">
        <v>23</v>
      </c>
      <c r="W24" s="37" t="s">
        <v>24</v>
      </c>
      <c r="X24" s="37" t="s">
        <v>25</v>
      </c>
      <c r="Y24" s="37" t="s">
        <v>26</v>
      </c>
      <c r="Z24" s="37" t="s">
        <v>27</v>
      </c>
      <c r="AA24" s="37" t="s">
        <v>28</v>
      </c>
      <c r="AB24" s="37" t="s">
        <v>29</v>
      </c>
      <c r="AC24" s="38" t="s">
        <v>30</v>
      </c>
      <c r="AD24" s="38" t="s">
        <v>31</v>
      </c>
      <c r="AE24" s="38" t="s">
        <v>32</v>
      </c>
      <c r="AF24" s="38" t="s">
        <v>33</v>
      </c>
      <c r="AG24" s="38" t="s">
        <v>34</v>
      </c>
      <c r="AH24" s="37" t="s">
        <v>35</v>
      </c>
      <c r="AI24" s="37" t="s">
        <v>36</v>
      </c>
      <c r="AJ24" s="37" t="s">
        <v>37</v>
      </c>
      <c r="AK24" s="37" t="s">
        <v>38</v>
      </c>
      <c r="AL24" s="37" t="s">
        <v>39</v>
      </c>
      <c r="AM24" s="39" t="s">
        <v>40</v>
      </c>
      <c r="AN24" s="37" t="s">
        <v>41</v>
      </c>
      <c r="AO24" s="37" t="s">
        <v>42</v>
      </c>
      <c r="AP24" s="37" t="s">
        <v>43</v>
      </c>
      <c r="AQ24" s="37" t="s">
        <v>44</v>
      </c>
      <c r="AR24" s="37" t="s">
        <v>45</v>
      </c>
      <c r="AS24" s="37" t="s">
        <v>46</v>
      </c>
      <c r="AT24" s="38" t="s">
        <v>47</v>
      </c>
      <c r="AU24" s="37" t="s">
        <v>48</v>
      </c>
      <c r="AV24" s="37" t="s">
        <v>49</v>
      </c>
      <c r="AW24" s="37" t="s">
        <v>50</v>
      </c>
      <c r="AX24" s="37" t="s">
        <v>51</v>
      </c>
      <c r="AY24" s="37" t="s">
        <v>52</v>
      </c>
      <c r="AZ24" s="38" t="s">
        <v>53</v>
      </c>
      <c r="BA24" s="37" t="s">
        <v>54</v>
      </c>
      <c r="BB24" s="37" t="s">
        <v>55</v>
      </c>
      <c r="BC24" s="37" t="s">
        <v>56</v>
      </c>
      <c r="BD24" s="37" t="s">
        <v>57</v>
      </c>
      <c r="BE24" s="37" t="s">
        <v>58</v>
      </c>
      <c r="BF24" s="37" t="s">
        <v>59</v>
      </c>
      <c r="BG24" s="37" t="s">
        <v>60</v>
      </c>
      <c r="BH24" s="37" t="s">
        <v>61</v>
      </c>
      <c r="BI24" s="37" t="s">
        <v>62</v>
      </c>
      <c r="BJ24" s="37" t="s">
        <v>63</v>
      </c>
      <c r="BK24" s="37" t="s">
        <v>64</v>
      </c>
      <c r="BL24" s="37" t="s">
        <v>65</v>
      </c>
      <c r="BM24" s="37" t="s">
        <v>66</v>
      </c>
      <c r="BN24" s="37" t="s">
        <v>67</v>
      </c>
      <c r="BO24" s="37" t="s">
        <v>68</v>
      </c>
      <c r="BP24" s="37" t="s">
        <v>69</v>
      </c>
      <c r="BQ24" s="37" t="s">
        <v>70</v>
      </c>
      <c r="BR24" s="37" t="s">
        <v>71</v>
      </c>
      <c r="BS24" s="37" t="s">
        <v>72</v>
      </c>
      <c r="BT24" s="37" t="s">
        <v>73</v>
      </c>
      <c r="BU24" s="37" t="s">
        <v>74</v>
      </c>
    </row>
    <row r="25" spans="1:73" s="2" customFormat="1" ht="15.5">
      <c r="A25" s="1" t="s">
        <v>334</v>
      </c>
      <c r="B25" s="2" t="s">
        <v>76</v>
      </c>
      <c r="C25" s="2" t="s">
        <v>77</v>
      </c>
      <c r="D25" s="2">
        <v>31</v>
      </c>
      <c r="E25" s="3" t="s">
        <v>335</v>
      </c>
      <c r="G25" s="2" t="s">
        <v>78</v>
      </c>
      <c r="H25" s="2" t="s">
        <v>79</v>
      </c>
      <c r="I25" s="2" t="s">
        <v>80</v>
      </c>
      <c r="J25" s="2" t="s">
        <v>81</v>
      </c>
      <c r="K25" s="4" t="s">
        <v>336</v>
      </c>
      <c r="L25" s="4"/>
      <c r="M25" s="5"/>
      <c r="N25" s="6"/>
      <c r="O25" s="4">
        <v>31515</v>
      </c>
      <c r="P25" s="4">
        <v>50500</v>
      </c>
      <c r="Q25" s="7">
        <v>475.6404</v>
      </c>
      <c r="R25" s="1">
        <f>O25*Q25</f>
        <v>14989807.206</v>
      </c>
      <c r="S25">
        <v>81.55</v>
      </c>
      <c r="T25" s="1">
        <f>R25/S25</f>
        <v>183811.24716125077</v>
      </c>
      <c r="U25" s="8">
        <v>0</v>
      </c>
      <c r="V25" s="8">
        <v>0</v>
      </c>
      <c r="W25" s="1">
        <f>R25+AT25</f>
        <v>14989807.206</v>
      </c>
      <c r="X25" s="1">
        <f>W25*S25</f>
        <v>1222418777.6492999</v>
      </c>
      <c r="Y25" s="2" t="s">
        <v>77</v>
      </c>
      <c r="Z25" s="2" t="s">
        <v>83</v>
      </c>
      <c r="AA25" s="2" t="s">
        <v>84</v>
      </c>
      <c r="AB25" s="2" t="s">
        <v>85</v>
      </c>
      <c r="AC25" s="4" t="s">
        <v>86</v>
      </c>
      <c r="AD25" s="9">
        <v>45373</v>
      </c>
      <c r="AE25" s="9">
        <v>45373</v>
      </c>
      <c r="AF25" s="9">
        <v>45374</v>
      </c>
      <c r="AG25" s="10"/>
      <c r="AH25" s="2" t="s">
        <v>87</v>
      </c>
      <c r="AK25" s="1"/>
      <c r="AM25" s="9"/>
      <c r="AN25" s="8">
        <v>0</v>
      </c>
      <c r="AO25" s="8">
        <v>0</v>
      </c>
      <c r="AR25" s="2" t="s">
        <v>89</v>
      </c>
      <c r="AS25" s="2" t="s">
        <v>78</v>
      </c>
      <c r="AT25" s="5"/>
      <c r="AU25" s="5"/>
      <c r="AV25" s="8"/>
      <c r="AW25" s="8">
        <v>0</v>
      </c>
      <c r="AX25" s="2" t="s">
        <v>90</v>
      </c>
      <c r="AY25" s="2" t="s">
        <v>78</v>
      </c>
      <c r="AZ25" s="4"/>
      <c r="BA25" s="4"/>
      <c r="BB25" s="8"/>
      <c r="BC25" s="2">
        <v>0</v>
      </c>
      <c r="BF25" s="8">
        <v>0</v>
      </c>
      <c r="BG25" s="8">
        <v>0</v>
      </c>
      <c r="BH25" s="8">
        <v>0</v>
      </c>
      <c r="BI25" s="8">
        <v>0</v>
      </c>
      <c r="BL25" s="8">
        <v>0</v>
      </c>
      <c r="BM25" s="8">
        <v>0</v>
      </c>
      <c r="BN25" s="8">
        <v>0</v>
      </c>
      <c r="BO25" s="8">
        <v>0</v>
      </c>
      <c r="BR25" s="8">
        <v>0</v>
      </c>
      <c r="BS25" s="8">
        <v>0</v>
      </c>
      <c r="BT25" s="8">
        <v>0</v>
      </c>
      <c r="BU25" s="8">
        <v>0</v>
      </c>
    </row>
    <row r="26" spans="1:73" s="2" customFormat="1" ht="15.5">
      <c r="A26" s="1" t="s">
        <v>334</v>
      </c>
      <c r="B26" s="2" t="s">
        <v>76</v>
      </c>
      <c r="C26" s="2" t="s">
        <v>77</v>
      </c>
      <c r="D26" s="2">
        <v>31</v>
      </c>
      <c r="E26" s="3" t="s">
        <v>335</v>
      </c>
      <c r="G26" s="2" t="s">
        <v>78</v>
      </c>
      <c r="H26" s="2" t="s">
        <v>79</v>
      </c>
      <c r="I26" s="2" t="s">
        <v>80</v>
      </c>
      <c r="J26" s="2" t="s">
        <v>81</v>
      </c>
      <c r="K26" s="4" t="s">
        <v>336</v>
      </c>
      <c r="L26" s="4"/>
      <c r="M26" s="5"/>
      <c r="N26" s="6"/>
      <c r="O26" s="4">
        <v>7899</v>
      </c>
      <c r="P26" s="4">
        <v>50500</v>
      </c>
      <c r="Q26" s="7">
        <v>493.83109999999999</v>
      </c>
      <c r="R26" s="1">
        <f>O26*Q26</f>
        <v>3900771.8588999999</v>
      </c>
      <c r="S26">
        <v>81.55</v>
      </c>
      <c r="T26" s="1">
        <f>R26/S26</f>
        <v>47832.886068669526</v>
      </c>
      <c r="U26" s="8">
        <v>0</v>
      </c>
      <c r="V26" s="8">
        <v>0</v>
      </c>
      <c r="W26" s="1">
        <f>R26+AT26</f>
        <v>3900771.8588999999</v>
      </c>
      <c r="X26" s="1">
        <f>W26*S26</f>
        <v>318107945.09329498</v>
      </c>
      <c r="Y26" s="2" t="s">
        <v>77</v>
      </c>
      <c r="Z26" s="2" t="s">
        <v>83</v>
      </c>
      <c r="AA26" s="2" t="s">
        <v>84</v>
      </c>
      <c r="AB26" s="2" t="s">
        <v>85</v>
      </c>
      <c r="AC26" s="4" t="s">
        <v>296</v>
      </c>
      <c r="AD26" s="9">
        <v>45373</v>
      </c>
      <c r="AE26" s="9">
        <v>45373</v>
      </c>
      <c r="AF26" s="9">
        <v>45373</v>
      </c>
      <c r="AG26" s="10"/>
      <c r="AH26" s="2" t="s">
        <v>87</v>
      </c>
      <c r="AK26" s="1"/>
      <c r="AM26" s="9"/>
      <c r="AN26" s="8">
        <v>0</v>
      </c>
      <c r="AO26" s="8">
        <v>0</v>
      </c>
      <c r="AR26" s="2" t="s">
        <v>89</v>
      </c>
      <c r="AS26" s="2" t="s">
        <v>78</v>
      </c>
      <c r="AT26" s="5"/>
      <c r="AU26" s="5"/>
      <c r="AV26" s="8"/>
      <c r="AW26" s="8">
        <v>0</v>
      </c>
      <c r="AX26" s="2" t="s">
        <v>90</v>
      </c>
      <c r="AY26" s="2" t="s">
        <v>78</v>
      </c>
      <c r="AZ26" s="4"/>
      <c r="BA26" s="4"/>
      <c r="BB26" s="8"/>
      <c r="BC26" s="2">
        <v>0</v>
      </c>
      <c r="BF26" s="8">
        <v>0</v>
      </c>
      <c r="BG26" s="8">
        <v>0</v>
      </c>
      <c r="BH26" s="8">
        <v>0</v>
      </c>
      <c r="BI26" s="8">
        <v>0</v>
      </c>
      <c r="BL26" s="8">
        <v>0</v>
      </c>
      <c r="BM26" s="8">
        <v>0</v>
      </c>
      <c r="BN26" s="8">
        <v>0</v>
      </c>
      <c r="BO26" s="8">
        <v>0</v>
      </c>
      <c r="BR26" s="8">
        <v>0</v>
      </c>
      <c r="BS26" s="8">
        <v>0</v>
      </c>
      <c r="BT26" s="8">
        <v>0</v>
      </c>
      <c r="BU26" s="8">
        <v>0</v>
      </c>
    </row>
    <row r="30" spans="1:73">
      <c r="A30" s="15" t="s">
        <v>149</v>
      </c>
    </row>
    <row r="31" spans="1:73">
      <c r="A31" s="11" t="s">
        <v>91</v>
      </c>
      <c r="B31" s="11" t="s">
        <v>92</v>
      </c>
      <c r="C31" s="11" t="s">
        <v>93</v>
      </c>
      <c r="D31" s="11" t="s">
        <v>94</v>
      </c>
      <c r="E31" s="11" t="s">
        <v>95</v>
      </c>
      <c r="F31" s="11" t="s">
        <v>96</v>
      </c>
      <c r="G31" s="11" t="s">
        <v>97</v>
      </c>
      <c r="H31" s="11" t="s">
        <v>98</v>
      </c>
      <c r="I31" s="11" t="s">
        <v>99</v>
      </c>
      <c r="J31" s="11" t="s">
        <v>100</v>
      </c>
      <c r="K31" s="11" t="s">
        <v>101</v>
      </c>
      <c r="L31" s="11" t="s">
        <v>102</v>
      </c>
      <c r="M31" s="11" t="s">
        <v>103</v>
      </c>
      <c r="N31" s="11" t="s">
        <v>104</v>
      </c>
      <c r="O31" s="11" t="s">
        <v>105</v>
      </c>
      <c r="P31" s="11" t="s">
        <v>106</v>
      </c>
      <c r="Q31" s="11" t="s">
        <v>107</v>
      </c>
      <c r="R31" s="11" t="s">
        <v>108</v>
      </c>
      <c r="S31" s="11" t="s">
        <v>109</v>
      </c>
      <c r="T31" s="11" t="s">
        <v>110</v>
      </c>
      <c r="U31" s="11" t="s">
        <v>0</v>
      </c>
      <c r="V31" s="11" t="s">
        <v>111</v>
      </c>
      <c r="W31" s="11" t="s">
        <v>112</v>
      </c>
      <c r="X31" s="11" t="s">
        <v>113</v>
      </c>
      <c r="Y31" s="11" t="s">
        <v>114</v>
      </c>
      <c r="Z31" s="11" t="s">
        <v>115</v>
      </c>
      <c r="AA31" s="11" t="s">
        <v>116</v>
      </c>
      <c r="AB31" s="11" t="s">
        <v>117</v>
      </c>
      <c r="AC31" s="11" t="s">
        <v>118</v>
      </c>
      <c r="AD31" s="11" t="s">
        <v>119</v>
      </c>
    </row>
    <row r="32" spans="1:73">
      <c r="A32" t="s">
        <v>334</v>
      </c>
      <c r="B32" t="s">
        <v>120</v>
      </c>
      <c r="C32" t="s">
        <v>337</v>
      </c>
      <c r="D32" t="s">
        <v>337</v>
      </c>
      <c r="E32" t="s">
        <v>338</v>
      </c>
      <c r="F32" t="s">
        <v>339</v>
      </c>
      <c r="G32" t="s">
        <v>121</v>
      </c>
      <c r="H32" t="s">
        <v>260</v>
      </c>
      <c r="I32" t="s">
        <v>340</v>
      </c>
      <c r="J32" t="s">
        <v>341</v>
      </c>
      <c r="K32" t="s">
        <v>342</v>
      </c>
      <c r="L32" t="s">
        <v>343</v>
      </c>
      <c r="M32" t="s">
        <v>341</v>
      </c>
      <c r="N32" t="s">
        <v>78</v>
      </c>
      <c r="O32" t="s">
        <v>127</v>
      </c>
      <c r="P32" s="12">
        <v>143688.34</v>
      </c>
      <c r="Q32" s="12">
        <v>1761.97</v>
      </c>
      <c r="R32">
        <v>81.55</v>
      </c>
      <c r="S32" t="s">
        <v>128</v>
      </c>
      <c r="T32" s="13"/>
      <c r="U32" t="s">
        <v>335</v>
      </c>
      <c r="V32" t="s">
        <v>80</v>
      </c>
      <c r="W32" t="s">
        <v>296</v>
      </c>
      <c r="X32" t="s">
        <v>77</v>
      </c>
      <c r="Y32" t="s">
        <v>120</v>
      </c>
      <c r="Z32" t="s">
        <v>344</v>
      </c>
      <c r="AA32" t="s">
        <v>129</v>
      </c>
      <c r="AB32" t="s">
        <v>129</v>
      </c>
      <c r="AC32" t="s">
        <v>79</v>
      </c>
      <c r="AD32" t="s">
        <v>345</v>
      </c>
    </row>
    <row r="33" spans="1:46">
      <c r="A33" t="s">
        <v>334</v>
      </c>
      <c r="B33" t="s">
        <v>120</v>
      </c>
      <c r="C33" t="s">
        <v>337</v>
      </c>
      <c r="D33" t="s">
        <v>337</v>
      </c>
      <c r="E33" t="s">
        <v>346</v>
      </c>
      <c r="F33" t="s">
        <v>339</v>
      </c>
      <c r="G33" t="s">
        <v>121</v>
      </c>
      <c r="H33" t="s">
        <v>140</v>
      </c>
      <c r="I33" t="s">
        <v>145</v>
      </c>
      <c r="J33" t="s">
        <v>146</v>
      </c>
      <c r="K33" t="s">
        <v>147</v>
      </c>
      <c r="L33" t="s">
        <v>347</v>
      </c>
      <c r="M33" t="s">
        <v>146</v>
      </c>
      <c r="N33" t="s">
        <v>78</v>
      </c>
      <c r="O33" t="s">
        <v>135</v>
      </c>
      <c r="P33" s="12">
        <v>-3900771.86</v>
      </c>
      <c r="Q33" s="12">
        <v>-47832.89</v>
      </c>
      <c r="R33">
        <v>81.55</v>
      </c>
      <c r="S33" t="s">
        <v>128</v>
      </c>
      <c r="T33" s="13"/>
      <c r="U33" t="s">
        <v>335</v>
      </c>
      <c r="V33" t="s">
        <v>80</v>
      </c>
      <c r="W33" t="s">
        <v>296</v>
      </c>
      <c r="X33" t="s">
        <v>77</v>
      </c>
      <c r="Y33" t="s">
        <v>120</v>
      </c>
      <c r="Z33" t="s">
        <v>348</v>
      </c>
      <c r="AA33" t="s">
        <v>129</v>
      </c>
      <c r="AB33" t="s">
        <v>129</v>
      </c>
      <c r="AC33" t="s">
        <v>79</v>
      </c>
      <c r="AD33" t="s">
        <v>345</v>
      </c>
    </row>
    <row r="34" spans="1:46">
      <c r="A34" t="s">
        <v>334</v>
      </c>
      <c r="B34" t="s">
        <v>120</v>
      </c>
      <c r="C34" t="s">
        <v>337</v>
      </c>
      <c r="D34" t="s">
        <v>337</v>
      </c>
      <c r="E34" t="s">
        <v>349</v>
      </c>
      <c r="F34" t="s">
        <v>339</v>
      </c>
      <c r="G34" t="s">
        <v>121</v>
      </c>
      <c r="H34" t="s">
        <v>140</v>
      </c>
      <c r="I34" t="s">
        <v>141</v>
      </c>
      <c r="J34" t="s">
        <v>142</v>
      </c>
      <c r="K34" t="s">
        <v>143</v>
      </c>
      <c r="L34" t="s">
        <v>144</v>
      </c>
      <c r="M34" t="s">
        <v>142</v>
      </c>
      <c r="N34" t="s">
        <v>78</v>
      </c>
      <c r="O34" t="s">
        <v>127</v>
      </c>
      <c r="P34" s="12">
        <v>3757083.52</v>
      </c>
      <c r="Q34" s="12">
        <v>46070.92</v>
      </c>
      <c r="R34">
        <v>81.55</v>
      </c>
      <c r="S34" t="s">
        <v>128</v>
      </c>
      <c r="T34" s="13"/>
      <c r="U34" t="s">
        <v>335</v>
      </c>
      <c r="V34" t="s">
        <v>80</v>
      </c>
      <c r="W34" t="s">
        <v>296</v>
      </c>
      <c r="X34" t="s">
        <v>77</v>
      </c>
      <c r="Y34" t="s">
        <v>120</v>
      </c>
      <c r="Z34" t="s">
        <v>350</v>
      </c>
      <c r="AA34" t="s">
        <v>129</v>
      </c>
      <c r="AB34" t="s">
        <v>129</v>
      </c>
      <c r="AC34" t="s">
        <v>79</v>
      </c>
      <c r="AD34" t="s">
        <v>345</v>
      </c>
    </row>
    <row r="35" spans="1:46">
      <c r="A35" t="s">
        <v>334</v>
      </c>
      <c r="B35" t="s">
        <v>120</v>
      </c>
      <c r="C35" t="s">
        <v>337</v>
      </c>
      <c r="D35" t="s">
        <v>337</v>
      </c>
      <c r="E35" t="s">
        <v>351</v>
      </c>
      <c r="F35" t="s">
        <v>352</v>
      </c>
      <c r="G35" t="s">
        <v>121</v>
      </c>
      <c r="H35" t="s">
        <v>122</v>
      </c>
      <c r="I35" t="s">
        <v>136</v>
      </c>
      <c r="J35" t="s">
        <v>137</v>
      </c>
      <c r="K35" t="s">
        <v>138</v>
      </c>
      <c r="L35" t="s">
        <v>139</v>
      </c>
      <c r="M35" t="s">
        <v>137</v>
      </c>
      <c r="N35" t="s">
        <v>78</v>
      </c>
      <c r="O35" t="s">
        <v>127</v>
      </c>
      <c r="P35" s="12">
        <v>14989807.210000001</v>
      </c>
      <c r="Q35" s="12">
        <v>183811.25</v>
      </c>
      <c r="R35">
        <v>81.55</v>
      </c>
      <c r="S35" t="s">
        <v>128</v>
      </c>
      <c r="T35" s="13"/>
      <c r="U35" t="s">
        <v>335</v>
      </c>
      <c r="V35" t="s">
        <v>80</v>
      </c>
      <c r="W35" t="s">
        <v>86</v>
      </c>
      <c r="X35" t="s">
        <v>77</v>
      </c>
      <c r="Y35" t="s">
        <v>120</v>
      </c>
      <c r="Z35" t="s">
        <v>353</v>
      </c>
      <c r="AA35" t="s">
        <v>129</v>
      </c>
      <c r="AB35" t="s">
        <v>129</v>
      </c>
      <c r="AC35" t="s">
        <v>79</v>
      </c>
      <c r="AD35" t="s">
        <v>354</v>
      </c>
    </row>
    <row r="36" spans="1:46">
      <c r="A36" t="s">
        <v>334</v>
      </c>
      <c r="B36" t="s">
        <v>120</v>
      </c>
      <c r="C36" t="s">
        <v>337</v>
      </c>
      <c r="D36" t="s">
        <v>337</v>
      </c>
      <c r="E36" t="s">
        <v>355</v>
      </c>
      <c r="F36" t="s">
        <v>352</v>
      </c>
      <c r="G36" t="s">
        <v>121</v>
      </c>
      <c r="H36" t="s">
        <v>140</v>
      </c>
      <c r="I36" t="s">
        <v>141</v>
      </c>
      <c r="J36" t="s">
        <v>142</v>
      </c>
      <c r="K36" t="s">
        <v>143</v>
      </c>
      <c r="L36" t="s">
        <v>144</v>
      </c>
      <c r="M36" t="s">
        <v>142</v>
      </c>
      <c r="N36" t="s">
        <v>78</v>
      </c>
      <c r="O36" t="s">
        <v>135</v>
      </c>
      <c r="P36" s="12">
        <v>-14989807.210000001</v>
      </c>
      <c r="Q36" s="12">
        <v>-183811.25</v>
      </c>
      <c r="R36">
        <v>81.55</v>
      </c>
      <c r="S36" t="s">
        <v>128</v>
      </c>
      <c r="T36" s="13"/>
      <c r="U36" t="s">
        <v>335</v>
      </c>
      <c r="V36" t="s">
        <v>80</v>
      </c>
      <c r="W36" t="s">
        <v>86</v>
      </c>
      <c r="X36" t="s">
        <v>77</v>
      </c>
      <c r="Y36" t="s">
        <v>120</v>
      </c>
      <c r="Z36" t="s">
        <v>356</v>
      </c>
      <c r="AA36" t="s">
        <v>129</v>
      </c>
      <c r="AB36" t="s">
        <v>129</v>
      </c>
      <c r="AC36" t="s">
        <v>79</v>
      </c>
      <c r="AD36" t="s">
        <v>354</v>
      </c>
    </row>
    <row r="38" spans="1:46">
      <c r="P38" s="13">
        <f>O25*Q25</f>
        <v>14989807.206</v>
      </c>
    </row>
    <row r="39" spans="1:46">
      <c r="P39" s="13">
        <f>O26*Q26</f>
        <v>3900771.8588999999</v>
      </c>
    </row>
    <row r="41" spans="1:46">
      <c r="P41">
        <f>O26*Q25</f>
        <v>3757083.5195999998</v>
      </c>
    </row>
    <row r="42" spans="1:46">
      <c r="O42" t="s">
        <v>357</v>
      </c>
      <c r="P42" s="46">
        <f>P39-P41</f>
        <v>143688.33930000011</v>
      </c>
    </row>
    <row r="44" spans="1:46">
      <c r="A44" s="15" t="s">
        <v>181</v>
      </c>
    </row>
    <row r="45" spans="1:46" ht="32" customHeight="1">
      <c r="A45" s="26" t="s">
        <v>91</v>
      </c>
      <c r="B45" s="26" t="s">
        <v>182</v>
      </c>
      <c r="C45" s="26" t="s">
        <v>183</v>
      </c>
      <c r="D45" s="26" t="s">
        <v>184</v>
      </c>
      <c r="E45" s="26" t="s">
        <v>94</v>
      </c>
      <c r="F45" s="26" t="s">
        <v>185</v>
      </c>
      <c r="G45" s="26" t="s">
        <v>186</v>
      </c>
      <c r="H45" s="26" t="s">
        <v>187</v>
      </c>
      <c r="I45" s="26" t="s">
        <v>0</v>
      </c>
      <c r="J45" s="26" t="s">
        <v>188</v>
      </c>
      <c r="K45" s="27" t="s">
        <v>159</v>
      </c>
      <c r="L45" s="26" t="s">
        <v>109</v>
      </c>
      <c r="M45" s="64" t="s">
        <v>189</v>
      </c>
      <c r="N45" s="64"/>
      <c r="O45" s="64" t="s">
        <v>172</v>
      </c>
      <c r="P45" s="64"/>
      <c r="Q45" s="64" t="s">
        <v>113</v>
      </c>
      <c r="R45" s="64"/>
      <c r="S45" s="64" t="s">
        <v>190</v>
      </c>
      <c r="T45" s="64"/>
      <c r="U45" s="26" t="s">
        <v>191</v>
      </c>
      <c r="V45" s="26" t="s">
        <v>192</v>
      </c>
      <c r="W45" s="26" t="s">
        <v>193</v>
      </c>
      <c r="X45" s="62" t="s">
        <v>157</v>
      </c>
      <c r="Y45" s="62"/>
      <c r="Z45" s="62" t="s">
        <v>194</v>
      </c>
      <c r="AA45" s="62"/>
      <c r="AB45" s="62" t="s">
        <v>195</v>
      </c>
      <c r="AC45" s="62"/>
      <c r="AD45" s="27" t="s">
        <v>196</v>
      </c>
      <c r="AE45" s="27" t="s">
        <v>197</v>
      </c>
      <c r="AF45" s="27" t="s">
        <v>198</v>
      </c>
      <c r="AG45" s="27" t="s">
        <v>199</v>
      </c>
      <c r="AH45" s="27" t="s">
        <v>200</v>
      </c>
      <c r="AI45" s="27" t="s">
        <v>201</v>
      </c>
      <c r="AJ45" s="27" t="s">
        <v>202</v>
      </c>
      <c r="AK45" s="27" t="s">
        <v>203</v>
      </c>
      <c r="AL45" s="27" t="s">
        <v>204</v>
      </c>
      <c r="AM45" s="27" t="s">
        <v>205</v>
      </c>
      <c r="AN45" s="27" t="s">
        <v>206</v>
      </c>
      <c r="AO45" s="28" t="s">
        <v>207</v>
      </c>
      <c r="AP45" s="29"/>
      <c r="AQ45" s="62" t="s">
        <v>208</v>
      </c>
      <c r="AR45" s="62"/>
      <c r="AS45" s="30" t="s">
        <v>209</v>
      </c>
    </row>
    <row r="46" spans="1:46" ht="15" customHeight="1">
      <c r="A46" s="63" t="s">
        <v>253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</row>
    <row r="47" spans="1:46" ht="27" customHeight="1">
      <c r="A47" s="19" t="s">
        <v>334</v>
      </c>
      <c r="B47" s="19" t="s">
        <v>358</v>
      </c>
      <c r="C47" s="19" t="s">
        <v>254</v>
      </c>
      <c r="D47" s="19" t="s">
        <v>255</v>
      </c>
      <c r="E47" s="20">
        <v>45373</v>
      </c>
      <c r="F47" s="20">
        <v>45373</v>
      </c>
      <c r="G47" s="19" t="s">
        <v>339</v>
      </c>
      <c r="H47" s="19" t="s">
        <v>296</v>
      </c>
      <c r="I47" s="19" t="s">
        <v>335</v>
      </c>
      <c r="J47" s="19" t="s">
        <v>359</v>
      </c>
      <c r="K47" s="24">
        <v>50500</v>
      </c>
      <c r="L47" s="31" t="s">
        <v>128</v>
      </c>
      <c r="N47" s="60" t="s">
        <v>211</v>
      </c>
      <c r="O47" s="60"/>
      <c r="P47" s="60" t="s">
        <v>83</v>
      </c>
      <c r="Q47" s="60"/>
      <c r="R47" s="60" t="s">
        <v>77</v>
      </c>
      <c r="S47" s="60"/>
      <c r="T47" s="59" t="s">
        <v>212</v>
      </c>
      <c r="U47" s="59"/>
      <c r="Y47" s="65">
        <v>7899</v>
      </c>
      <c r="Z47" s="65"/>
      <c r="AA47" s="66">
        <v>493.83109999999999</v>
      </c>
      <c r="AB47" s="66"/>
      <c r="AC47" s="24">
        <v>47832.89</v>
      </c>
      <c r="AD47" s="24" t="s">
        <v>213</v>
      </c>
      <c r="AE47" s="24">
        <v>0</v>
      </c>
      <c r="AF47" s="23">
        <v>0</v>
      </c>
      <c r="AG47" s="24">
        <v>0</v>
      </c>
      <c r="AH47" s="24">
        <v>0</v>
      </c>
      <c r="AI47" s="24">
        <v>0</v>
      </c>
      <c r="AJ47" s="24">
        <v>3900771.86</v>
      </c>
      <c r="AK47" s="24">
        <v>47832.89</v>
      </c>
      <c r="AL47" s="24">
        <v>3757083.52</v>
      </c>
      <c r="AM47" s="24">
        <v>46070.92</v>
      </c>
      <c r="AN47" s="24">
        <v>143688.34</v>
      </c>
      <c r="AO47" s="24">
        <v>1761.97</v>
      </c>
      <c r="AQ47" s="65">
        <v>0</v>
      </c>
      <c r="AR47" s="65"/>
      <c r="AS47" s="24">
        <v>0</v>
      </c>
    </row>
    <row r="48" spans="1:46" ht="27" customHeight="1">
      <c r="A48" s="32" t="s">
        <v>334</v>
      </c>
      <c r="B48" s="32" t="s">
        <v>358</v>
      </c>
      <c r="C48" s="32" t="s">
        <v>254</v>
      </c>
      <c r="D48" s="32" t="s">
        <v>255</v>
      </c>
      <c r="E48" s="33">
        <v>45373</v>
      </c>
      <c r="F48" s="33">
        <v>45374</v>
      </c>
      <c r="G48" s="32" t="s">
        <v>352</v>
      </c>
      <c r="H48" s="32" t="s">
        <v>86</v>
      </c>
      <c r="I48" s="32" t="s">
        <v>335</v>
      </c>
      <c r="J48" s="32" t="s">
        <v>359</v>
      </c>
      <c r="K48" s="34">
        <v>50500</v>
      </c>
      <c r="L48" s="35" t="s">
        <v>128</v>
      </c>
      <c r="M48" s="29"/>
      <c r="N48" s="61" t="s">
        <v>211</v>
      </c>
      <c r="O48" s="61"/>
      <c r="P48" s="61" t="s">
        <v>83</v>
      </c>
      <c r="Q48" s="61"/>
      <c r="R48" s="61" t="s">
        <v>77</v>
      </c>
      <c r="S48" s="61"/>
      <c r="T48" s="67" t="s">
        <v>212</v>
      </c>
      <c r="U48" s="67"/>
      <c r="V48" s="29"/>
      <c r="W48" s="29"/>
      <c r="X48" s="29"/>
      <c r="Y48" s="68">
        <v>31515</v>
      </c>
      <c r="Z48" s="68"/>
      <c r="AA48" s="69">
        <v>475.6404</v>
      </c>
      <c r="AB48" s="69"/>
      <c r="AC48" s="34">
        <v>183811.25</v>
      </c>
      <c r="AD48" s="34" t="s">
        <v>213</v>
      </c>
      <c r="AE48" s="34">
        <v>0</v>
      </c>
      <c r="AF48" s="36">
        <v>0</v>
      </c>
      <c r="AG48" s="34">
        <v>0</v>
      </c>
      <c r="AH48" s="34">
        <v>0</v>
      </c>
      <c r="AI48" s="34">
        <v>0</v>
      </c>
      <c r="AJ48" s="34">
        <v>14989807.210000001</v>
      </c>
      <c r="AK48" s="34">
        <v>183811.25</v>
      </c>
      <c r="AL48" s="34">
        <v>14989807.210000001</v>
      </c>
      <c r="AM48" s="34">
        <v>183811.25</v>
      </c>
      <c r="AN48" s="34">
        <v>0</v>
      </c>
      <c r="AO48" s="34">
        <v>0</v>
      </c>
      <c r="AP48" s="29"/>
      <c r="AQ48" s="68">
        <v>0</v>
      </c>
      <c r="AR48" s="68"/>
      <c r="AS48" s="34">
        <v>0</v>
      </c>
      <c r="AT48" s="29"/>
    </row>
    <row r="52" spans="1:32">
      <c r="A52" s="15" t="s">
        <v>150</v>
      </c>
    </row>
    <row r="53" spans="1:32" ht="30" customHeight="1">
      <c r="A53" s="16" t="s">
        <v>151</v>
      </c>
      <c r="B53" s="58" t="s">
        <v>0</v>
      </c>
      <c r="C53" s="58"/>
      <c r="D53" s="16" t="s">
        <v>152</v>
      </c>
      <c r="E53" s="16" t="s">
        <v>153</v>
      </c>
      <c r="F53" s="16" t="s">
        <v>154</v>
      </c>
      <c r="G53" s="16" t="s">
        <v>155</v>
      </c>
      <c r="H53" s="16" t="s">
        <v>156</v>
      </c>
      <c r="I53" s="17" t="s">
        <v>157</v>
      </c>
      <c r="J53" s="17" t="s">
        <v>158</v>
      </c>
      <c r="K53" s="17" t="s">
        <v>159</v>
      </c>
      <c r="L53" s="17" t="s">
        <v>160</v>
      </c>
      <c r="M53" s="17" t="s">
        <v>161</v>
      </c>
      <c r="N53" s="17" t="s">
        <v>162</v>
      </c>
      <c r="O53" s="16" t="s">
        <v>163</v>
      </c>
      <c r="P53" s="17" t="s">
        <v>164</v>
      </c>
      <c r="Q53" s="17" t="s">
        <v>165</v>
      </c>
      <c r="R53" s="16" t="s">
        <v>166</v>
      </c>
      <c r="S53" s="16" t="s">
        <v>167</v>
      </c>
      <c r="T53" s="16" t="s">
        <v>168</v>
      </c>
      <c r="U53" s="16" t="s">
        <v>169</v>
      </c>
      <c r="V53" s="16" t="s">
        <v>170</v>
      </c>
      <c r="W53" s="16" t="s">
        <v>171</v>
      </c>
      <c r="X53" s="17" t="s">
        <v>172</v>
      </c>
      <c r="Y53" s="16" t="s">
        <v>173</v>
      </c>
      <c r="Z53" s="16" t="s">
        <v>174</v>
      </c>
      <c r="AA53" s="16" t="s">
        <v>175</v>
      </c>
      <c r="AB53" s="16" t="s">
        <v>176</v>
      </c>
      <c r="AC53" s="16" t="s">
        <v>177</v>
      </c>
      <c r="AD53" s="16" t="s">
        <v>178</v>
      </c>
      <c r="AE53" s="16" t="s">
        <v>179</v>
      </c>
      <c r="AF53" s="18" t="s">
        <v>180</v>
      </c>
    </row>
    <row r="54" spans="1:32" ht="21.5" customHeight="1">
      <c r="B54" s="59" t="s">
        <v>335</v>
      </c>
      <c r="C54" s="59"/>
      <c r="D54" s="19" t="s">
        <v>359</v>
      </c>
      <c r="F54" s="19" t="s">
        <v>78</v>
      </c>
      <c r="H54" s="20">
        <v>45637</v>
      </c>
      <c r="I54" s="21">
        <v>23616</v>
      </c>
      <c r="J54" s="22">
        <v>475.6404</v>
      </c>
      <c r="K54" s="23">
        <v>50500</v>
      </c>
      <c r="L54" s="24">
        <v>11232723.689999999</v>
      </c>
      <c r="M54" s="24">
        <v>137740.32999999999</v>
      </c>
      <c r="N54" s="22">
        <v>475.6404</v>
      </c>
      <c r="O54" s="24">
        <v>11232723.689999999</v>
      </c>
      <c r="P54" s="24">
        <v>137740.32999999999</v>
      </c>
      <c r="Q54" s="25">
        <v>5.3001468020939404</v>
      </c>
      <c r="R54" s="24">
        <v>0</v>
      </c>
      <c r="S54" s="24">
        <v>0</v>
      </c>
      <c r="T54" s="24">
        <v>0</v>
      </c>
      <c r="U54" s="24">
        <v>0</v>
      </c>
      <c r="V54" s="24">
        <v>137740.32999999999</v>
      </c>
      <c r="W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6" spans="1:32">
      <c r="I56" s="13">
        <f>Y48-Y47</f>
        <v>23616</v>
      </c>
      <c r="J56">
        <f>L54/I54</f>
        <v>475.64040015243899</v>
      </c>
      <c r="L56" s="13">
        <f>P35-P34</f>
        <v>11232723.690000001</v>
      </c>
      <c r="M56" s="13">
        <f>L54/R36</f>
        <v>137740.32728387491</v>
      </c>
    </row>
    <row r="59" spans="1:32">
      <c r="A59" s="15" t="s">
        <v>360</v>
      </c>
    </row>
    <row r="80" spans="1:1">
      <c r="A80" s="15" t="s">
        <v>149</v>
      </c>
    </row>
    <row r="81" spans="1:32">
      <c r="A81" s="11" t="s">
        <v>91</v>
      </c>
      <c r="B81" s="11" t="s">
        <v>92</v>
      </c>
      <c r="C81" s="11" t="s">
        <v>93</v>
      </c>
      <c r="D81" s="11" t="s">
        <v>94</v>
      </c>
      <c r="E81" s="11" t="s">
        <v>95</v>
      </c>
      <c r="F81" s="11" t="s">
        <v>96</v>
      </c>
      <c r="G81" s="11" t="s">
        <v>97</v>
      </c>
      <c r="H81" s="11" t="s">
        <v>98</v>
      </c>
      <c r="I81" s="11" t="s">
        <v>99</v>
      </c>
      <c r="J81" s="11" t="s">
        <v>100</v>
      </c>
      <c r="K81" s="11" t="s">
        <v>101</v>
      </c>
      <c r="L81" s="11" t="s">
        <v>102</v>
      </c>
      <c r="M81" s="11" t="s">
        <v>103</v>
      </c>
      <c r="N81" s="11" t="s">
        <v>104</v>
      </c>
      <c r="O81" s="11" t="s">
        <v>105</v>
      </c>
      <c r="P81" s="11" t="s">
        <v>106</v>
      </c>
      <c r="Q81" s="11" t="s">
        <v>107</v>
      </c>
      <c r="R81" s="11" t="s">
        <v>108</v>
      </c>
      <c r="S81" s="11" t="s">
        <v>109</v>
      </c>
      <c r="T81" s="11" t="s">
        <v>110</v>
      </c>
      <c r="U81" s="11" t="s">
        <v>0</v>
      </c>
      <c r="V81" s="11" t="s">
        <v>111</v>
      </c>
      <c r="W81" s="11" t="s">
        <v>112</v>
      </c>
      <c r="X81" s="11" t="s">
        <v>113</v>
      </c>
      <c r="Y81" s="11" t="s">
        <v>114</v>
      </c>
      <c r="Z81" s="11" t="s">
        <v>115</v>
      </c>
      <c r="AA81" s="11" t="s">
        <v>116</v>
      </c>
      <c r="AB81" s="11" t="s">
        <v>117</v>
      </c>
      <c r="AC81" s="11" t="s">
        <v>118</v>
      </c>
      <c r="AD81" s="11" t="s">
        <v>119</v>
      </c>
    </row>
    <row r="82" spans="1:32">
      <c r="A82" t="s">
        <v>334</v>
      </c>
      <c r="B82" t="s">
        <v>120</v>
      </c>
      <c r="C82" t="s">
        <v>337</v>
      </c>
      <c r="D82" t="s">
        <v>337</v>
      </c>
      <c r="E82" t="s">
        <v>361</v>
      </c>
      <c r="F82" t="s">
        <v>362</v>
      </c>
      <c r="G82" t="s">
        <v>259</v>
      </c>
      <c r="H82" t="s">
        <v>260</v>
      </c>
      <c r="I82" t="s">
        <v>261</v>
      </c>
      <c r="J82" t="s">
        <v>262</v>
      </c>
      <c r="K82" t="s">
        <v>263</v>
      </c>
      <c r="L82" t="s">
        <v>264</v>
      </c>
      <c r="M82" t="s">
        <v>262</v>
      </c>
      <c r="N82" t="s">
        <v>78</v>
      </c>
      <c r="O82" t="s">
        <v>127</v>
      </c>
      <c r="P82" s="12">
        <v>4765463.1900000004</v>
      </c>
      <c r="Q82" s="12">
        <v>58436.09</v>
      </c>
      <c r="R82">
        <v>81.55</v>
      </c>
      <c r="S82" t="s">
        <v>128</v>
      </c>
      <c r="T82" t="s">
        <v>120</v>
      </c>
      <c r="U82" t="s">
        <v>335</v>
      </c>
      <c r="V82" t="s">
        <v>80</v>
      </c>
      <c r="W82" t="s">
        <v>265</v>
      </c>
      <c r="X82" t="s">
        <v>120</v>
      </c>
      <c r="Y82" t="s">
        <v>120</v>
      </c>
      <c r="Z82" t="s">
        <v>363</v>
      </c>
      <c r="AA82" t="s">
        <v>129</v>
      </c>
      <c r="AB82" t="s">
        <v>267</v>
      </c>
      <c r="AC82" t="s">
        <v>79</v>
      </c>
      <c r="AD82" t="s">
        <v>362</v>
      </c>
    </row>
    <row r="83" spans="1:32">
      <c r="A83" t="s">
        <v>334</v>
      </c>
      <c r="B83" t="s">
        <v>120</v>
      </c>
      <c r="C83" t="s">
        <v>337</v>
      </c>
      <c r="D83" t="s">
        <v>337</v>
      </c>
      <c r="E83" t="s">
        <v>364</v>
      </c>
      <c r="F83" t="s">
        <v>362</v>
      </c>
      <c r="G83" t="s">
        <v>259</v>
      </c>
      <c r="H83" t="s">
        <v>140</v>
      </c>
      <c r="I83" t="s">
        <v>269</v>
      </c>
      <c r="J83" t="s">
        <v>270</v>
      </c>
      <c r="K83" t="s">
        <v>271</v>
      </c>
      <c r="L83" t="s">
        <v>272</v>
      </c>
      <c r="M83" t="s">
        <v>270</v>
      </c>
      <c r="N83" t="s">
        <v>78</v>
      </c>
      <c r="O83" t="s">
        <v>135</v>
      </c>
      <c r="P83" s="12">
        <v>-4765463.1900000004</v>
      </c>
      <c r="Q83" s="12">
        <v>-58436.09</v>
      </c>
      <c r="R83">
        <v>81.55</v>
      </c>
      <c r="S83" t="s">
        <v>128</v>
      </c>
      <c r="T83" t="s">
        <v>120</v>
      </c>
      <c r="U83" t="s">
        <v>335</v>
      </c>
      <c r="V83" t="s">
        <v>80</v>
      </c>
      <c r="W83" t="s">
        <v>265</v>
      </c>
      <c r="X83" t="s">
        <v>120</v>
      </c>
      <c r="Y83" t="s">
        <v>120</v>
      </c>
      <c r="Z83" t="s">
        <v>363</v>
      </c>
      <c r="AA83" t="s">
        <v>129</v>
      </c>
      <c r="AB83" t="s">
        <v>267</v>
      </c>
      <c r="AC83" t="s">
        <v>79</v>
      </c>
      <c r="AD83" t="s">
        <v>362</v>
      </c>
    </row>
    <row r="86" spans="1:32">
      <c r="A86" s="15" t="s">
        <v>150</v>
      </c>
    </row>
    <row r="87" spans="1:32" ht="30" customHeight="1">
      <c r="A87" s="16" t="s">
        <v>151</v>
      </c>
      <c r="B87" s="58" t="s">
        <v>0</v>
      </c>
      <c r="C87" s="58"/>
      <c r="D87" s="16" t="s">
        <v>152</v>
      </c>
      <c r="E87" s="16" t="s">
        <v>153</v>
      </c>
      <c r="F87" s="16" t="s">
        <v>154</v>
      </c>
      <c r="G87" s="16" t="s">
        <v>155</v>
      </c>
      <c r="H87" s="16" t="s">
        <v>156</v>
      </c>
      <c r="I87" s="17" t="s">
        <v>157</v>
      </c>
      <c r="J87" s="17" t="s">
        <v>158</v>
      </c>
      <c r="K87" s="17" t="s">
        <v>159</v>
      </c>
      <c r="L87" s="17" t="s">
        <v>160</v>
      </c>
      <c r="M87" s="17" t="s">
        <v>161</v>
      </c>
      <c r="N87" s="17" t="s">
        <v>162</v>
      </c>
      <c r="O87" s="16" t="s">
        <v>163</v>
      </c>
      <c r="P87" s="17" t="s">
        <v>164</v>
      </c>
      <c r="Q87" s="17" t="s">
        <v>165</v>
      </c>
      <c r="R87" s="16" t="s">
        <v>166</v>
      </c>
      <c r="S87" s="16" t="s">
        <v>167</v>
      </c>
      <c r="T87" s="16" t="s">
        <v>168</v>
      </c>
      <c r="U87" s="16" t="s">
        <v>169</v>
      </c>
      <c r="V87" s="16" t="s">
        <v>170</v>
      </c>
      <c r="W87" s="16" t="s">
        <v>171</v>
      </c>
      <c r="X87" s="17" t="s">
        <v>172</v>
      </c>
      <c r="Y87" s="16" t="s">
        <v>173</v>
      </c>
      <c r="Z87" s="16" t="s">
        <v>174</v>
      </c>
      <c r="AA87" s="16" t="s">
        <v>175</v>
      </c>
      <c r="AB87" s="16" t="s">
        <v>176</v>
      </c>
      <c r="AC87" s="16" t="s">
        <v>177</v>
      </c>
      <c r="AD87" s="16" t="s">
        <v>178</v>
      </c>
      <c r="AE87" s="16" t="s">
        <v>179</v>
      </c>
      <c r="AF87" s="18" t="s">
        <v>180</v>
      </c>
    </row>
    <row r="88" spans="1:32" ht="21.5" customHeight="1">
      <c r="B88" s="59" t="s">
        <v>335</v>
      </c>
      <c r="C88" s="59"/>
      <c r="D88" s="19" t="s">
        <v>359</v>
      </c>
      <c r="F88" s="19" t="s">
        <v>78</v>
      </c>
      <c r="H88" s="20">
        <v>45637</v>
      </c>
      <c r="I88" s="21">
        <v>23616</v>
      </c>
      <c r="J88" s="22">
        <v>475.6404</v>
      </c>
      <c r="K88" s="23">
        <v>50500</v>
      </c>
      <c r="L88" s="24">
        <v>11232723.689999999</v>
      </c>
      <c r="M88" s="24">
        <v>137740.32999999999</v>
      </c>
      <c r="N88" s="22">
        <v>677.43</v>
      </c>
      <c r="O88" s="24">
        <v>15998186.880000001</v>
      </c>
      <c r="P88" s="24">
        <v>196176.42</v>
      </c>
      <c r="Q88" s="25">
        <v>7.3410319559335999</v>
      </c>
      <c r="R88" s="24">
        <v>0</v>
      </c>
      <c r="S88" s="24">
        <v>0</v>
      </c>
      <c r="T88" s="24">
        <v>0</v>
      </c>
      <c r="U88" s="24">
        <v>0</v>
      </c>
      <c r="V88" s="24">
        <v>137740.32999999999</v>
      </c>
      <c r="W88" s="24">
        <v>0</v>
      </c>
      <c r="X88" s="23">
        <v>81.55</v>
      </c>
      <c r="Y88" s="24">
        <v>4765463.1900000004</v>
      </c>
      <c r="Z88" s="24">
        <v>58436.09</v>
      </c>
      <c r="AA88" s="24">
        <v>4765463.1900000004</v>
      </c>
      <c r="AB88" s="24">
        <v>58436.09</v>
      </c>
      <c r="AC88" s="24">
        <v>0</v>
      </c>
      <c r="AD88" s="24">
        <v>0</v>
      </c>
      <c r="AE88" s="24">
        <v>0</v>
      </c>
      <c r="AF88" s="43">
        <v>45373</v>
      </c>
    </row>
    <row r="90" spans="1:32">
      <c r="O90" s="13">
        <f>N88*I88</f>
        <v>15998186.879999999</v>
      </c>
      <c r="P90" s="13">
        <f>O88/X88</f>
        <v>196176.41790312695</v>
      </c>
      <c r="Y90" s="13">
        <f>O88-L88</f>
        <v>4765463.1900000013</v>
      </c>
      <c r="Z90" s="13">
        <f>P88-M88</f>
        <v>58436.090000000026</v>
      </c>
    </row>
    <row r="93" spans="1:32">
      <c r="A93" t="s">
        <v>365</v>
      </c>
    </row>
    <row r="95" spans="1:32">
      <c r="A95" t="s">
        <v>366</v>
      </c>
    </row>
    <row r="117" spans="1:1">
      <c r="A117" s="15" t="s">
        <v>360</v>
      </c>
    </row>
    <row r="136" spans="1:30">
      <c r="A136" s="15" t="s">
        <v>149</v>
      </c>
    </row>
    <row r="137" spans="1:30">
      <c r="A137" s="11" t="s">
        <v>91</v>
      </c>
      <c r="B137" s="11" t="s">
        <v>92</v>
      </c>
      <c r="C137" s="11" t="s">
        <v>93</v>
      </c>
      <c r="D137" s="11" t="s">
        <v>94</v>
      </c>
      <c r="E137" s="11" t="s">
        <v>95</v>
      </c>
      <c r="F137" s="11" t="s">
        <v>96</v>
      </c>
      <c r="G137" s="11" t="s">
        <v>97</v>
      </c>
      <c r="H137" s="11" t="s">
        <v>98</v>
      </c>
      <c r="I137" s="11" t="s">
        <v>99</v>
      </c>
      <c r="J137" s="11" t="s">
        <v>100</v>
      </c>
      <c r="K137" s="11" t="s">
        <v>101</v>
      </c>
      <c r="L137" s="11" t="s">
        <v>102</v>
      </c>
      <c r="M137" s="11" t="s">
        <v>103</v>
      </c>
      <c r="N137" s="11" t="s">
        <v>104</v>
      </c>
      <c r="O137" s="11" t="s">
        <v>105</v>
      </c>
      <c r="P137" s="11" t="s">
        <v>106</v>
      </c>
      <c r="Q137" s="11" t="s">
        <v>107</v>
      </c>
      <c r="R137" s="11" t="s">
        <v>108</v>
      </c>
      <c r="S137" s="11" t="s">
        <v>109</v>
      </c>
      <c r="T137" s="11" t="s">
        <v>110</v>
      </c>
      <c r="U137" s="11" t="s">
        <v>0</v>
      </c>
      <c r="V137" s="11" t="s">
        <v>111</v>
      </c>
      <c r="W137" s="11" t="s">
        <v>112</v>
      </c>
      <c r="X137" s="11" t="s">
        <v>113</v>
      </c>
      <c r="Y137" s="11" t="s">
        <v>114</v>
      </c>
      <c r="Z137" s="11" t="s">
        <v>115</v>
      </c>
      <c r="AA137" s="11" t="s">
        <v>116</v>
      </c>
      <c r="AB137" s="11" t="s">
        <v>117</v>
      </c>
      <c r="AC137" s="11" t="s">
        <v>118</v>
      </c>
      <c r="AD137" s="11" t="s">
        <v>119</v>
      </c>
    </row>
    <row r="138" spans="1:30">
      <c r="A138" t="s">
        <v>334</v>
      </c>
      <c r="B138" t="s">
        <v>120</v>
      </c>
      <c r="C138" t="s">
        <v>367</v>
      </c>
      <c r="D138" t="s">
        <v>367</v>
      </c>
      <c r="E138" t="s">
        <v>368</v>
      </c>
      <c r="F138" t="s">
        <v>369</v>
      </c>
      <c r="G138" t="s">
        <v>259</v>
      </c>
      <c r="H138" t="s">
        <v>260</v>
      </c>
      <c r="I138" t="s">
        <v>261</v>
      </c>
      <c r="J138" t="s">
        <v>262</v>
      </c>
      <c r="K138" t="s">
        <v>263</v>
      </c>
      <c r="L138" t="s">
        <v>264</v>
      </c>
      <c r="M138" t="s">
        <v>262</v>
      </c>
      <c r="N138" t="s">
        <v>78</v>
      </c>
      <c r="O138" t="s">
        <v>135</v>
      </c>
      <c r="P138" s="12">
        <v>-639993.59999999998</v>
      </c>
      <c r="Q138" s="12">
        <v>-7021.96</v>
      </c>
      <c r="R138">
        <v>80.239999999999995</v>
      </c>
      <c r="S138" t="s">
        <v>128</v>
      </c>
      <c r="T138" t="s">
        <v>120</v>
      </c>
      <c r="U138" t="s">
        <v>335</v>
      </c>
      <c r="V138" t="s">
        <v>80</v>
      </c>
      <c r="W138" t="s">
        <v>265</v>
      </c>
      <c r="X138" t="s">
        <v>120</v>
      </c>
      <c r="Y138" t="s">
        <v>120</v>
      </c>
      <c r="Z138" t="s">
        <v>363</v>
      </c>
      <c r="AA138" t="s">
        <v>129</v>
      </c>
      <c r="AB138" t="s">
        <v>267</v>
      </c>
      <c r="AC138" t="s">
        <v>79</v>
      </c>
      <c r="AD138" t="s">
        <v>369</v>
      </c>
    </row>
    <row r="139" spans="1:30">
      <c r="A139" t="s">
        <v>334</v>
      </c>
      <c r="B139" t="s">
        <v>120</v>
      </c>
      <c r="C139" t="s">
        <v>367</v>
      </c>
      <c r="D139" t="s">
        <v>367</v>
      </c>
      <c r="E139" t="s">
        <v>370</v>
      </c>
      <c r="F139" t="s">
        <v>369</v>
      </c>
      <c r="G139" t="s">
        <v>259</v>
      </c>
      <c r="H139" t="s">
        <v>260</v>
      </c>
      <c r="I139" t="s">
        <v>279</v>
      </c>
      <c r="J139" t="s">
        <v>280</v>
      </c>
      <c r="K139" t="s">
        <v>281</v>
      </c>
      <c r="L139" t="s">
        <v>282</v>
      </c>
      <c r="M139" t="s">
        <v>280</v>
      </c>
      <c r="N139" t="s">
        <v>78</v>
      </c>
      <c r="O139" t="s">
        <v>127</v>
      </c>
      <c r="P139" s="12">
        <v>0</v>
      </c>
      <c r="Q139" s="12">
        <v>2248.75</v>
      </c>
      <c r="R139">
        <v>80.239999999999995</v>
      </c>
      <c r="S139" t="s">
        <v>128</v>
      </c>
      <c r="T139" t="s">
        <v>120</v>
      </c>
      <c r="U139" t="s">
        <v>335</v>
      </c>
      <c r="V139" t="s">
        <v>80</v>
      </c>
      <c r="W139" t="s">
        <v>265</v>
      </c>
      <c r="X139" t="s">
        <v>120</v>
      </c>
      <c r="Y139" t="s">
        <v>120</v>
      </c>
      <c r="Z139" t="s">
        <v>371</v>
      </c>
      <c r="AA139" t="s">
        <v>129</v>
      </c>
      <c r="AB139" t="s">
        <v>267</v>
      </c>
      <c r="AC139" t="s">
        <v>79</v>
      </c>
      <c r="AD139" t="s">
        <v>369</v>
      </c>
    </row>
    <row r="140" spans="1:30">
      <c r="A140" t="s">
        <v>334</v>
      </c>
      <c r="B140" t="s">
        <v>120</v>
      </c>
      <c r="C140" t="s">
        <v>367</v>
      </c>
      <c r="D140" t="s">
        <v>367</v>
      </c>
      <c r="E140" t="s">
        <v>372</v>
      </c>
      <c r="F140" t="s">
        <v>369</v>
      </c>
      <c r="G140" t="s">
        <v>259</v>
      </c>
      <c r="H140" t="s">
        <v>140</v>
      </c>
      <c r="I140" t="s">
        <v>285</v>
      </c>
      <c r="J140" t="s">
        <v>286</v>
      </c>
      <c r="K140" t="s">
        <v>287</v>
      </c>
      <c r="L140" t="s">
        <v>288</v>
      </c>
      <c r="M140" t="s">
        <v>286</v>
      </c>
      <c r="N140" t="s">
        <v>78</v>
      </c>
      <c r="O140" t="s">
        <v>127</v>
      </c>
      <c r="P140" s="12">
        <v>0</v>
      </c>
      <c r="Q140" s="12">
        <v>-2248.75</v>
      </c>
      <c r="R140">
        <v>80.239999999999995</v>
      </c>
      <c r="S140" t="s">
        <v>128</v>
      </c>
      <c r="T140" t="s">
        <v>120</v>
      </c>
      <c r="U140" t="s">
        <v>335</v>
      </c>
      <c r="V140" t="s">
        <v>80</v>
      </c>
      <c r="W140" t="s">
        <v>265</v>
      </c>
      <c r="X140" t="s">
        <v>120</v>
      </c>
      <c r="Y140" t="s">
        <v>120</v>
      </c>
      <c r="Z140" t="s">
        <v>371</v>
      </c>
      <c r="AA140" t="s">
        <v>129</v>
      </c>
      <c r="AB140" t="s">
        <v>267</v>
      </c>
      <c r="AC140" t="s">
        <v>79</v>
      </c>
      <c r="AD140" t="s">
        <v>369</v>
      </c>
    </row>
    <row r="141" spans="1:30">
      <c r="A141" t="s">
        <v>334</v>
      </c>
      <c r="B141" t="s">
        <v>120</v>
      </c>
      <c r="C141" t="s">
        <v>367</v>
      </c>
      <c r="D141" t="s">
        <v>367</v>
      </c>
      <c r="E141" t="s">
        <v>373</v>
      </c>
      <c r="F141" t="s">
        <v>369</v>
      </c>
      <c r="G141" t="s">
        <v>259</v>
      </c>
      <c r="H141" t="s">
        <v>140</v>
      </c>
      <c r="I141" t="s">
        <v>269</v>
      </c>
      <c r="J141" t="s">
        <v>270</v>
      </c>
      <c r="K141" t="s">
        <v>271</v>
      </c>
      <c r="L141" t="s">
        <v>272</v>
      </c>
      <c r="M141" t="s">
        <v>270</v>
      </c>
      <c r="N141" t="s">
        <v>78</v>
      </c>
      <c r="O141" t="s">
        <v>127</v>
      </c>
      <c r="P141" s="12">
        <v>639993.59999999998</v>
      </c>
      <c r="Q141" s="12">
        <v>7021.96</v>
      </c>
      <c r="R141">
        <v>80.239999999999995</v>
      </c>
      <c r="S141" t="s">
        <v>128</v>
      </c>
      <c r="T141" t="s">
        <v>120</v>
      </c>
      <c r="U141" t="s">
        <v>335</v>
      </c>
      <c r="V141" t="s">
        <v>80</v>
      </c>
      <c r="W141" t="s">
        <v>265</v>
      </c>
      <c r="X141" t="s">
        <v>120</v>
      </c>
      <c r="Y141" t="s">
        <v>120</v>
      </c>
      <c r="Z141" t="s">
        <v>363</v>
      </c>
      <c r="AA141" t="s">
        <v>129</v>
      </c>
      <c r="AB141" t="s">
        <v>267</v>
      </c>
      <c r="AC141" t="s">
        <v>79</v>
      </c>
      <c r="AD141" t="s">
        <v>369</v>
      </c>
    </row>
    <row r="142" spans="1:30">
      <c r="A142" t="s">
        <v>334</v>
      </c>
      <c r="B142" t="s">
        <v>120</v>
      </c>
      <c r="C142" t="s">
        <v>367</v>
      </c>
      <c r="D142" t="s">
        <v>367</v>
      </c>
      <c r="E142" t="s">
        <v>374</v>
      </c>
      <c r="F142" t="s">
        <v>375</v>
      </c>
      <c r="G142" t="s">
        <v>292</v>
      </c>
      <c r="H142" t="s">
        <v>140</v>
      </c>
      <c r="I142" t="s">
        <v>145</v>
      </c>
      <c r="J142" t="s">
        <v>146</v>
      </c>
      <c r="K142" t="s">
        <v>147</v>
      </c>
      <c r="L142" t="s">
        <v>347</v>
      </c>
      <c r="M142" t="s">
        <v>146</v>
      </c>
      <c r="N142" t="s">
        <v>78</v>
      </c>
      <c r="O142" t="s">
        <v>127</v>
      </c>
      <c r="P142" s="12">
        <v>14989807.210000001</v>
      </c>
      <c r="Q142" s="12">
        <v>183811.25</v>
      </c>
      <c r="R142">
        <v>81.55</v>
      </c>
      <c r="S142" t="s">
        <v>128</v>
      </c>
      <c r="T142" t="s">
        <v>120</v>
      </c>
      <c r="U142" t="s">
        <v>335</v>
      </c>
      <c r="V142" t="s">
        <v>80</v>
      </c>
      <c r="W142" t="s">
        <v>293</v>
      </c>
      <c r="X142" t="s">
        <v>77</v>
      </c>
      <c r="Y142" t="s">
        <v>120</v>
      </c>
      <c r="Z142" t="s">
        <v>376</v>
      </c>
      <c r="AA142" t="s">
        <v>129</v>
      </c>
      <c r="AB142" t="s">
        <v>129</v>
      </c>
      <c r="AC142" t="s">
        <v>79</v>
      </c>
      <c r="AD142" t="s">
        <v>354</v>
      </c>
    </row>
    <row r="143" spans="1:30">
      <c r="A143" t="s">
        <v>334</v>
      </c>
      <c r="B143" t="s">
        <v>120</v>
      </c>
      <c r="C143" t="s">
        <v>367</v>
      </c>
      <c r="D143" t="s">
        <v>367</v>
      </c>
      <c r="E143" t="s">
        <v>377</v>
      </c>
      <c r="F143" t="s">
        <v>375</v>
      </c>
      <c r="G143" t="s">
        <v>292</v>
      </c>
      <c r="H143" t="s">
        <v>122</v>
      </c>
      <c r="I143" t="s">
        <v>136</v>
      </c>
      <c r="J143" t="s">
        <v>137</v>
      </c>
      <c r="K143" t="s">
        <v>138</v>
      </c>
      <c r="L143" t="s">
        <v>139</v>
      </c>
      <c r="M143" t="s">
        <v>137</v>
      </c>
      <c r="N143" t="s">
        <v>78</v>
      </c>
      <c r="O143" t="s">
        <v>135</v>
      </c>
      <c r="P143" s="12">
        <v>-14989807.210000001</v>
      </c>
      <c r="Q143" s="12">
        <v>-183811.25</v>
      </c>
      <c r="R143">
        <v>81.55</v>
      </c>
      <c r="S143" t="s">
        <v>128</v>
      </c>
      <c r="T143" t="s">
        <v>120</v>
      </c>
      <c r="U143" t="s">
        <v>335</v>
      </c>
      <c r="V143" t="s">
        <v>80</v>
      </c>
      <c r="W143" t="s">
        <v>293</v>
      </c>
      <c r="X143" t="s">
        <v>77</v>
      </c>
      <c r="Y143" t="s">
        <v>120</v>
      </c>
      <c r="Z143" t="s">
        <v>376</v>
      </c>
      <c r="AA143" t="s">
        <v>129</v>
      </c>
      <c r="AB143" t="s">
        <v>129</v>
      </c>
      <c r="AC143" t="s">
        <v>79</v>
      </c>
      <c r="AD143" t="s">
        <v>354</v>
      </c>
    </row>
    <row r="147" spans="1:73">
      <c r="A147" s="15" t="s">
        <v>150</v>
      </c>
    </row>
    <row r="148" spans="1:73" ht="30" customHeight="1">
      <c r="A148" s="16" t="s">
        <v>151</v>
      </c>
      <c r="B148" s="58" t="s">
        <v>0</v>
      </c>
      <c r="C148" s="58"/>
      <c r="D148" s="16" t="s">
        <v>152</v>
      </c>
      <c r="E148" s="16" t="s">
        <v>153</v>
      </c>
      <c r="F148" s="16" t="s">
        <v>154</v>
      </c>
      <c r="G148" s="16" t="s">
        <v>155</v>
      </c>
      <c r="H148" s="16" t="s">
        <v>156</v>
      </c>
      <c r="I148" s="17" t="s">
        <v>157</v>
      </c>
      <c r="J148" s="17" t="s">
        <v>158</v>
      </c>
      <c r="K148" s="17" t="s">
        <v>159</v>
      </c>
      <c r="L148" s="17" t="s">
        <v>160</v>
      </c>
      <c r="M148" s="17" t="s">
        <v>161</v>
      </c>
      <c r="N148" s="17" t="s">
        <v>162</v>
      </c>
      <c r="O148" s="16" t="s">
        <v>163</v>
      </c>
      <c r="P148" s="17" t="s">
        <v>164</v>
      </c>
      <c r="Q148" s="17" t="s">
        <v>165</v>
      </c>
      <c r="R148" s="16" t="s">
        <v>166</v>
      </c>
      <c r="S148" s="16" t="s">
        <v>167</v>
      </c>
      <c r="T148" s="16" t="s">
        <v>168</v>
      </c>
      <c r="U148" s="16" t="s">
        <v>169</v>
      </c>
      <c r="V148" s="16" t="s">
        <v>170</v>
      </c>
      <c r="W148" s="16" t="s">
        <v>171</v>
      </c>
      <c r="X148" s="17" t="s">
        <v>172</v>
      </c>
      <c r="Y148" s="16" t="s">
        <v>173</v>
      </c>
      <c r="Z148" s="16" t="s">
        <v>174</v>
      </c>
      <c r="AA148" s="16" t="s">
        <v>175</v>
      </c>
      <c r="AB148" s="16" t="s">
        <v>176</v>
      </c>
      <c r="AC148" s="16" t="s">
        <v>177</v>
      </c>
      <c r="AD148" s="16" t="s">
        <v>178</v>
      </c>
      <c r="AE148" s="16" t="s">
        <v>179</v>
      </c>
      <c r="AF148" s="18" t="s">
        <v>180</v>
      </c>
    </row>
    <row r="149" spans="1:73" ht="21.5" customHeight="1">
      <c r="B149" s="59" t="s">
        <v>335</v>
      </c>
      <c r="C149" s="59"/>
      <c r="D149" s="19" t="s">
        <v>359</v>
      </c>
      <c r="F149" s="19" t="s">
        <v>78</v>
      </c>
      <c r="H149" s="20">
        <v>45637</v>
      </c>
      <c r="I149" s="21">
        <v>23616</v>
      </c>
      <c r="J149" s="22">
        <v>475.6404</v>
      </c>
      <c r="K149" s="23">
        <v>50500</v>
      </c>
      <c r="L149" s="24">
        <v>11232723.689999999</v>
      </c>
      <c r="M149" s="24">
        <v>137740.32999999999</v>
      </c>
      <c r="N149" s="22">
        <v>650.33000000000004</v>
      </c>
      <c r="O149" s="24">
        <v>15358193.279999999</v>
      </c>
      <c r="P149" s="24">
        <v>191403.21</v>
      </c>
      <c r="Q149" s="25">
        <v>7.2025083780080239</v>
      </c>
      <c r="R149" s="24">
        <v>0</v>
      </c>
      <c r="S149" s="24">
        <v>0</v>
      </c>
      <c r="T149" s="24">
        <v>0</v>
      </c>
      <c r="U149" s="24">
        <v>0</v>
      </c>
      <c r="V149" s="24">
        <v>137740.32999999999</v>
      </c>
      <c r="W149" s="24">
        <v>0</v>
      </c>
      <c r="X149" s="23">
        <v>80.239999999999995</v>
      </c>
      <c r="Y149" s="24">
        <v>4125469.59</v>
      </c>
      <c r="Z149" s="24">
        <v>53662.879999999997</v>
      </c>
      <c r="AA149" s="24">
        <v>4125469.59</v>
      </c>
      <c r="AB149" s="24">
        <v>51414.13</v>
      </c>
      <c r="AC149" s="24">
        <v>2248.75</v>
      </c>
      <c r="AD149" s="24">
        <v>0</v>
      </c>
      <c r="AE149" s="24">
        <v>0</v>
      </c>
      <c r="AF149" s="43">
        <v>45374</v>
      </c>
    </row>
    <row r="151" spans="1:73">
      <c r="O151" s="13">
        <f>N149*I149</f>
        <v>15358193.280000001</v>
      </c>
      <c r="P151" s="13">
        <f>O149/X149</f>
        <v>191403.20638085745</v>
      </c>
      <c r="Y151" s="13">
        <f>O149-L149</f>
        <v>4125469.59</v>
      </c>
      <c r="Z151" s="13">
        <f>P149-M149</f>
        <v>53662.880000000005</v>
      </c>
      <c r="AA151" s="44">
        <f>O149-L149</f>
        <v>4125469.59</v>
      </c>
      <c r="AB151">
        <f>AA149/X149</f>
        <v>51414.127492522435</v>
      </c>
      <c r="AC151" s="41">
        <f>Z149-AB149</f>
        <v>2248.75</v>
      </c>
    </row>
    <row r="153" spans="1:73">
      <c r="A153" s="15" t="s">
        <v>297</v>
      </c>
      <c r="AA153" s="41">
        <f>AA88-AA149</f>
        <v>639993.60000000056</v>
      </c>
      <c r="AB153" s="41">
        <f>AB88-AB149</f>
        <v>7021.9599999999991</v>
      </c>
    </row>
    <row r="154" spans="1:73" s="37" customFormat="1" ht="12.5">
      <c r="A154" s="37" t="s">
        <v>2</v>
      </c>
      <c r="B154" s="37" t="s">
        <v>3</v>
      </c>
      <c r="C154" s="37" t="s">
        <v>4</v>
      </c>
      <c r="D154" s="37" t="s">
        <v>5</v>
      </c>
      <c r="E154" s="38" t="s">
        <v>6</v>
      </c>
      <c r="F154" s="37" t="s">
        <v>7</v>
      </c>
      <c r="G154" s="37" t="s">
        <v>8</v>
      </c>
      <c r="H154" s="37" t="s">
        <v>9</v>
      </c>
      <c r="I154" s="37" t="s">
        <v>10</v>
      </c>
      <c r="J154" s="37" t="s">
        <v>11</v>
      </c>
      <c r="K154" s="38" t="s">
        <v>12</v>
      </c>
      <c r="L154" s="37" t="s">
        <v>13</v>
      </c>
      <c r="M154" s="37" t="s">
        <v>14</v>
      </c>
      <c r="N154" s="37" t="s">
        <v>15</v>
      </c>
      <c r="O154" s="38" t="s">
        <v>16</v>
      </c>
      <c r="P154" s="38" t="s">
        <v>17</v>
      </c>
      <c r="Q154" s="38" t="s">
        <v>18</v>
      </c>
      <c r="R154" s="37" t="s">
        <v>19</v>
      </c>
      <c r="S154" s="38" t="s">
        <v>20</v>
      </c>
      <c r="T154" s="37" t="s">
        <v>21</v>
      </c>
      <c r="U154" s="37" t="s">
        <v>22</v>
      </c>
      <c r="V154" s="37" t="s">
        <v>23</v>
      </c>
      <c r="W154" s="37" t="s">
        <v>24</v>
      </c>
      <c r="X154" s="37" t="s">
        <v>25</v>
      </c>
      <c r="Y154" s="37" t="s">
        <v>26</v>
      </c>
      <c r="Z154" s="37" t="s">
        <v>27</v>
      </c>
      <c r="AA154" s="37" t="s">
        <v>28</v>
      </c>
      <c r="AB154" s="37" t="s">
        <v>29</v>
      </c>
      <c r="AC154" s="38" t="s">
        <v>30</v>
      </c>
      <c r="AD154" s="38" t="s">
        <v>31</v>
      </c>
      <c r="AE154" s="38" t="s">
        <v>32</v>
      </c>
      <c r="AF154" s="38" t="s">
        <v>33</v>
      </c>
      <c r="AG154" s="38" t="s">
        <v>34</v>
      </c>
      <c r="AH154" s="37" t="s">
        <v>35</v>
      </c>
      <c r="AI154" s="37" t="s">
        <v>36</v>
      </c>
      <c r="AJ154" s="37" t="s">
        <v>37</v>
      </c>
      <c r="AK154" s="37" t="s">
        <v>38</v>
      </c>
      <c r="AL154" s="37" t="s">
        <v>39</v>
      </c>
      <c r="AM154" s="39" t="s">
        <v>40</v>
      </c>
      <c r="AN154" s="37" t="s">
        <v>41</v>
      </c>
      <c r="AO154" s="37" t="s">
        <v>42</v>
      </c>
      <c r="AP154" s="37" t="s">
        <v>43</v>
      </c>
      <c r="AQ154" s="37" t="s">
        <v>44</v>
      </c>
      <c r="AR154" s="37" t="s">
        <v>45</v>
      </c>
      <c r="AS154" s="37" t="s">
        <v>46</v>
      </c>
      <c r="AT154" s="38" t="s">
        <v>47</v>
      </c>
      <c r="AU154" s="37" t="s">
        <v>48</v>
      </c>
      <c r="AV154" s="37" t="s">
        <v>49</v>
      </c>
      <c r="AW154" s="37" t="s">
        <v>50</v>
      </c>
      <c r="AX154" s="37" t="s">
        <v>51</v>
      </c>
      <c r="AY154" s="37" t="s">
        <v>52</v>
      </c>
      <c r="AZ154" s="38" t="s">
        <v>53</v>
      </c>
      <c r="BA154" s="37" t="s">
        <v>54</v>
      </c>
      <c r="BB154" s="37" t="s">
        <v>55</v>
      </c>
      <c r="BC154" s="37" t="s">
        <v>56</v>
      </c>
      <c r="BD154" s="37" t="s">
        <v>57</v>
      </c>
      <c r="BE154" s="37" t="s">
        <v>58</v>
      </c>
      <c r="BF154" s="37" t="s">
        <v>59</v>
      </c>
      <c r="BG154" s="37" t="s">
        <v>60</v>
      </c>
      <c r="BH154" s="37" t="s">
        <v>61</v>
      </c>
      <c r="BI154" s="37" t="s">
        <v>62</v>
      </c>
      <c r="BJ154" s="37" t="s">
        <v>63</v>
      </c>
      <c r="BK154" s="37" t="s">
        <v>64</v>
      </c>
      <c r="BL154" s="37" t="s">
        <v>65</v>
      </c>
      <c r="BM154" s="37" t="s">
        <v>66</v>
      </c>
      <c r="BN154" s="37" t="s">
        <v>67</v>
      </c>
      <c r="BO154" s="37" t="s">
        <v>68</v>
      </c>
      <c r="BP154" s="37" t="s">
        <v>69</v>
      </c>
      <c r="BQ154" s="37" t="s">
        <v>70</v>
      </c>
      <c r="BR154" s="37" t="s">
        <v>71</v>
      </c>
      <c r="BS154" s="37" t="s">
        <v>72</v>
      </c>
      <c r="BT154" s="37" t="s">
        <v>73</v>
      </c>
      <c r="BU154" s="37" t="s">
        <v>74</v>
      </c>
    </row>
    <row r="155" spans="1:73" s="2" customFormat="1" ht="15.5">
      <c r="A155" s="1" t="s">
        <v>334</v>
      </c>
      <c r="B155" s="2" t="s">
        <v>76</v>
      </c>
      <c r="C155" s="2" t="s">
        <v>77</v>
      </c>
      <c r="D155" s="2">
        <v>31</v>
      </c>
      <c r="E155" s="3" t="s">
        <v>335</v>
      </c>
      <c r="G155" s="2" t="s">
        <v>78</v>
      </c>
      <c r="H155" s="2" t="s">
        <v>79</v>
      </c>
      <c r="I155" s="2" t="s">
        <v>80</v>
      </c>
      <c r="J155" s="2" t="s">
        <v>81</v>
      </c>
      <c r="K155" s="4" t="s">
        <v>336</v>
      </c>
      <c r="L155" s="4"/>
      <c r="M155" s="5"/>
      <c r="N155" s="6"/>
      <c r="O155" s="4">
        <v>23616</v>
      </c>
      <c r="P155" s="4">
        <v>50500</v>
      </c>
      <c r="Q155" s="7">
        <v>484.22</v>
      </c>
      <c r="R155" s="1">
        <f>O155*Q155</f>
        <v>11435339.520000001</v>
      </c>
      <c r="S155">
        <v>80.239999999999995</v>
      </c>
      <c r="T155" s="1">
        <f>R155/S155</f>
        <v>142514.20139581259</v>
      </c>
      <c r="U155" s="8">
        <v>0</v>
      </c>
      <c r="V155" s="8">
        <v>0</v>
      </c>
      <c r="W155" s="1">
        <f>R155+AT155</f>
        <v>11436016.950000001</v>
      </c>
      <c r="X155" s="1">
        <f>W155*S155</f>
        <v>917626000.06800008</v>
      </c>
      <c r="Y155" s="2" t="s">
        <v>77</v>
      </c>
      <c r="Z155" s="2" t="s">
        <v>83</v>
      </c>
      <c r="AA155" s="2" t="s">
        <v>84</v>
      </c>
      <c r="AB155" s="2" t="s">
        <v>85</v>
      </c>
      <c r="AC155" s="4" t="s">
        <v>296</v>
      </c>
      <c r="AD155" s="9">
        <v>45374</v>
      </c>
      <c r="AE155" s="9">
        <v>45374</v>
      </c>
      <c r="AF155" s="9">
        <v>45374</v>
      </c>
      <c r="AG155" s="10"/>
      <c r="AH155" s="2" t="s">
        <v>87</v>
      </c>
      <c r="AK155" s="1"/>
      <c r="AM155" s="9"/>
      <c r="AN155" s="8">
        <v>0</v>
      </c>
      <c r="AO155" s="8">
        <v>0</v>
      </c>
      <c r="AR155" s="2" t="s">
        <v>89</v>
      </c>
      <c r="AS155" s="2" t="s">
        <v>78</v>
      </c>
      <c r="AT155" s="5">
        <v>677.43</v>
      </c>
      <c r="AU155" s="5">
        <v>677.43</v>
      </c>
      <c r="AV155" s="8"/>
      <c r="AW155" s="8">
        <v>0</v>
      </c>
      <c r="AX155" s="2" t="s">
        <v>90</v>
      </c>
      <c r="AY155" s="2" t="s">
        <v>78</v>
      </c>
      <c r="AZ155" s="4">
        <v>3221.32</v>
      </c>
      <c r="BA155" s="4">
        <v>3221.32</v>
      </c>
      <c r="BB155" s="8"/>
      <c r="BC155" s="2">
        <v>0</v>
      </c>
      <c r="BF155" s="8">
        <v>0</v>
      </c>
      <c r="BG155" s="8">
        <v>0</v>
      </c>
      <c r="BH155" s="8">
        <v>0</v>
      </c>
      <c r="BI155" s="8">
        <v>0</v>
      </c>
      <c r="BL155" s="8">
        <v>0</v>
      </c>
      <c r="BM155" s="8">
        <v>0</v>
      </c>
      <c r="BN155" s="8">
        <v>0</v>
      </c>
      <c r="BO155" s="8">
        <v>0</v>
      </c>
      <c r="BR155" s="8">
        <v>0</v>
      </c>
      <c r="BS155" s="8">
        <v>0</v>
      </c>
      <c r="BT155" s="8">
        <v>0</v>
      </c>
      <c r="BU155" s="8">
        <v>0</v>
      </c>
    </row>
    <row r="159" spans="1:73">
      <c r="A159" s="15" t="s">
        <v>378</v>
      </c>
    </row>
    <row r="160" spans="1:73" ht="25" customHeight="1">
      <c r="A160" s="47" t="s">
        <v>379</v>
      </c>
      <c r="B160" s="47" t="s">
        <v>380</v>
      </c>
      <c r="C160" s="47" t="s">
        <v>381</v>
      </c>
      <c r="D160" s="48" t="s">
        <v>382</v>
      </c>
      <c r="E160" s="48" t="s">
        <v>383</v>
      </c>
      <c r="F160" s="48" t="s">
        <v>384</v>
      </c>
      <c r="G160" s="47" t="s">
        <v>385</v>
      </c>
      <c r="H160" s="47" t="s">
        <v>386</v>
      </c>
      <c r="I160" s="47" t="s">
        <v>387</v>
      </c>
      <c r="J160" s="47" t="s">
        <v>388</v>
      </c>
      <c r="K160" s="47" t="s">
        <v>156</v>
      </c>
      <c r="L160" s="47" t="s">
        <v>389</v>
      </c>
      <c r="M160" s="48" t="s">
        <v>390</v>
      </c>
      <c r="N160" s="48" t="s">
        <v>158</v>
      </c>
      <c r="O160" s="48" t="s">
        <v>391</v>
      </c>
      <c r="P160" s="48" t="s">
        <v>392</v>
      </c>
      <c r="Q160" s="48" t="s">
        <v>393</v>
      </c>
      <c r="R160" s="48" t="s">
        <v>162</v>
      </c>
      <c r="S160" s="48" t="s">
        <v>394</v>
      </c>
      <c r="T160" s="48" t="s">
        <v>395</v>
      </c>
      <c r="U160" s="48" t="s">
        <v>165</v>
      </c>
      <c r="V160" s="48" t="s">
        <v>396</v>
      </c>
      <c r="W160" s="48" t="s">
        <v>397</v>
      </c>
      <c r="X160" s="48" t="s">
        <v>398</v>
      </c>
      <c r="Y160" s="48" t="s">
        <v>399</v>
      </c>
      <c r="Z160" s="48" t="s">
        <v>400</v>
      </c>
      <c r="AA160" s="48" t="s">
        <v>171</v>
      </c>
      <c r="AB160" s="48" t="s">
        <v>401</v>
      </c>
      <c r="AC160" s="48" t="s">
        <v>402</v>
      </c>
      <c r="AD160" s="48" t="s">
        <v>403</v>
      </c>
      <c r="AE160" s="48" t="s">
        <v>404</v>
      </c>
      <c r="AF160" s="48" t="s">
        <v>274</v>
      </c>
    </row>
    <row r="161" spans="1:32" ht="20" customHeight="1">
      <c r="A161" s="49" t="s">
        <v>405</v>
      </c>
      <c r="B161" s="49" t="s">
        <v>406</v>
      </c>
      <c r="C161" s="49" t="s">
        <v>359</v>
      </c>
      <c r="D161" s="50" t="s">
        <v>78</v>
      </c>
      <c r="E161" s="50" t="s">
        <v>76</v>
      </c>
      <c r="F161" s="51">
        <v>144214</v>
      </c>
      <c r="G161" s="49" t="s">
        <v>352</v>
      </c>
      <c r="H161" s="52">
        <v>45373</v>
      </c>
      <c r="I161" s="52">
        <v>45374</v>
      </c>
      <c r="J161" s="49" t="s">
        <v>407</v>
      </c>
      <c r="K161" s="52">
        <v>45637</v>
      </c>
      <c r="L161" s="52">
        <v>45637</v>
      </c>
      <c r="M161" s="53">
        <v>31515</v>
      </c>
      <c r="N161" s="54">
        <v>356.42467682056161</v>
      </c>
      <c r="O161" s="55">
        <v>11232723.689999999</v>
      </c>
      <c r="P161" s="55">
        <v>137740.32999999999</v>
      </c>
      <c r="Q161" s="55">
        <v>139989.078888335</v>
      </c>
      <c r="R161" s="54">
        <v>650.33000000000004</v>
      </c>
      <c r="S161" s="55">
        <v>15358193.279999999</v>
      </c>
      <c r="T161" s="55">
        <v>191403.21</v>
      </c>
      <c r="U161" s="56">
        <v>7.2025083780080239</v>
      </c>
      <c r="V161" s="55">
        <v>0</v>
      </c>
      <c r="W161" s="55">
        <v>0</v>
      </c>
      <c r="X161" s="55">
        <v>0</v>
      </c>
      <c r="Y161" s="55">
        <v>0</v>
      </c>
      <c r="Z161" s="55">
        <v>11232723.689999999</v>
      </c>
      <c r="AA161" s="55">
        <v>0</v>
      </c>
      <c r="AB161" s="55">
        <v>4125469.59</v>
      </c>
      <c r="AC161" s="55">
        <v>53662.879999999997</v>
      </c>
      <c r="AD161" s="55">
        <v>2248.75</v>
      </c>
      <c r="AE161" s="55">
        <v>51414.127492522435</v>
      </c>
      <c r="AF161" s="55">
        <v>80.239999999999995</v>
      </c>
    </row>
    <row r="180" spans="1:30">
      <c r="A180" s="15" t="s">
        <v>149</v>
      </c>
    </row>
    <row r="181" spans="1:30">
      <c r="A181" s="11" t="s">
        <v>91</v>
      </c>
      <c r="B181" s="11" t="s">
        <v>92</v>
      </c>
      <c r="C181" s="11" t="s">
        <v>93</v>
      </c>
      <c r="D181" s="11" t="s">
        <v>94</v>
      </c>
      <c r="E181" s="11" t="s">
        <v>95</v>
      </c>
      <c r="F181" s="11" t="s">
        <v>96</v>
      </c>
      <c r="G181" s="11" t="s">
        <v>97</v>
      </c>
      <c r="H181" s="11" t="s">
        <v>98</v>
      </c>
      <c r="I181" s="11" t="s">
        <v>99</v>
      </c>
      <c r="J181" s="11" t="s">
        <v>100</v>
      </c>
      <c r="K181" s="11" t="s">
        <v>101</v>
      </c>
      <c r="L181" s="11" t="s">
        <v>102</v>
      </c>
      <c r="M181" s="11" t="s">
        <v>103</v>
      </c>
      <c r="N181" s="11" t="s">
        <v>104</v>
      </c>
      <c r="O181" s="11" t="s">
        <v>105</v>
      </c>
      <c r="P181" s="11" t="s">
        <v>106</v>
      </c>
      <c r="Q181" s="11" t="s">
        <v>107</v>
      </c>
      <c r="R181" s="11" t="s">
        <v>108</v>
      </c>
      <c r="S181" s="11" t="s">
        <v>109</v>
      </c>
      <c r="T181" s="11" t="s">
        <v>110</v>
      </c>
      <c r="U181" s="11" t="s">
        <v>0</v>
      </c>
      <c r="V181" s="11" t="s">
        <v>111</v>
      </c>
      <c r="W181" s="11" t="s">
        <v>112</v>
      </c>
      <c r="X181" s="11" t="s">
        <v>113</v>
      </c>
      <c r="Y181" s="11" t="s">
        <v>114</v>
      </c>
      <c r="Z181" s="11" t="s">
        <v>115</v>
      </c>
      <c r="AA181" s="11" t="s">
        <v>116</v>
      </c>
      <c r="AB181" s="11" t="s">
        <v>117</v>
      </c>
      <c r="AC181" s="11" t="s">
        <v>118</v>
      </c>
      <c r="AD181" s="11" t="s">
        <v>119</v>
      </c>
    </row>
    <row r="182" spans="1:30">
      <c r="A182" t="s">
        <v>334</v>
      </c>
      <c r="B182" t="s">
        <v>120</v>
      </c>
      <c r="C182" t="s">
        <v>367</v>
      </c>
      <c r="D182" t="s">
        <v>367</v>
      </c>
      <c r="E182" t="s">
        <v>408</v>
      </c>
      <c r="F182" t="s">
        <v>409</v>
      </c>
      <c r="G182" t="s">
        <v>121</v>
      </c>
      <c r="H182" t="s">
        <v>260</v>
      </c>
      <c r="I182" t="s">
        <v>279</v>
      </c>
      <c r="J182" t="s">
        <v>280</v>
      </c>
      <c r="K182" t="s">
        <v>281</v>
      </c>
      <c r="L182" t="s">
        <v>282</v>
      </c>
      <c r="M182" t="s">
        <v>280</v>
      </c>
      <c r="N182" t="s">
        <v>78</v>
      </c>
      <c r="O182" t="s">
        <v>127</v>
      </c>
      <c r="P182" s="12">
        <v>0</v>
      </c>
      <c r="Q182" s="12">
        <v>-2248.75</v>
      </c>
      <c r="R182">
        <v>80.239999999999995</v>
      </c>
      <c r="S182" t="s">
        <v>128</v>
      </c>
      <c r="T182" t="s">
        <v>120</v>
      </c>
      <c r="U182" t="s">
        <v>335</v>
      </c>
      <c r="V182" t="s">
        <v>80</v>
      </c>
      <c r="W182" t="s">
        <v>296</v>
      </c>
      <c r="X182" t="s">
        <v>77</v>
      </c>
      <c r="Y182" t="s">
        <v>120</v>
      </c>
      <c r="Z182" t="s">
        <v>410</v>
      </c>
      <c r="AA182" t="s">
        <v>129</v>
      </c>
      <c r="AB182" t="s">
        <v>129</v>
      </c>
      <c r="AC182" t="s">
        <v>79</v>
      </c>
      <c r="AD182" t="s">
        <v>411</v>
      </c>
    </row>
    <row r="183" spans="1:30">
      <c r="A183" t="s">
        <v>334</v>
      </c>
      <c r="B183" t="s">
        <v>120</v>
      </c>
      <c r="C183" t="s">
        <v>367</v>
      </c>
      <c r="D183" t="s">
        <v>367</v>
      </c>
      <c r="E183" t="s">
        <v>412</v>
      </c>
      <c r="F183" t="s">
        <v>409</v>
      </c>
      <c r="G183" t="s">
        <v>121</v>
      </c>
      <c r="H183" t="s">
        <v>140</v>
      </c>
      <c r="I183" t="s">
        <v>285</v>
      </c>
      <c r="J183" t="s">
        <v>286</v>
      </c>
      <c r="K183" t="s">
        <v>287</v>
      </c>
      <c r="L183" t="s">
        <v>288</v>
      </c>
      <c r="M183" t="s">
        <v>286</v>
      </c>
      <c r="N183" t="s">
        <v>78</v>
      </c>
      <c r="O183" t="s">
        <v>127</v>
      </c>
      <c r="P183" s="12">
        <v>0</v>
      </c>
      <c r="Q183" s="12">
        <v>2248.75</v>
      </c>
      <c r="R183">
        <v>80.239999999999995</v>
      </c>
      <c r="S183" t="s">
        <v>128</v>
      </c>
      <c r="T183" t="s">
        <v>120</v>
      </c>
      <c r="U183" t="s">
        <v>335</v>
      </c>
      <c r="V183" t="s">
        <v>80</v>
      </c>
      <c r="W183" t="s">
        <v>296</v>
      </c>
      <c r="X183" t="s">
        <v>77</v>
      </c>
      <c r="Y183" t="s">
        <v>120</v>
      </c>
      <c r="Z183" t="s">
        <v>410</v>
      </c>
      <c r="AA183" t="s">
        <v>129</v>
      </c>
      <c r="AB183" t="s">
        <v>129</v>
      </c>
      <c r="AC183" t="s">
        <v>79</v>
      </c>
      <c r="AD183" t="s">
        <v>411</v>
      </c>
    </row>
    <row r="184" spans="1:30">
      <c r="A184" t="s">
        <v>334</v>
      </c>
      <c r="B184" t="s">
        <v>120</v>
      </c>
      <c r="C184" t="s">
        <v>367</v>
      </c>
      <c r="D184" t="s">
        <v>367</v>
      </c>
      <c r="E184" t="s">
        <v>413</v>
      </c>
      <c r="F184" t="s">
        <v>409</v>
      </c>
      <c r="G184" t="s">
        <v>121</v>
      </c>
      <c r="H184" t="s">
        <v>140</v>
      </c>
      <c r="I184" t="s">
        <v>269</v>
      </c>
      <c r="J184" t="s">
        <v>270</v>
      </c>
      <c r="K184" t="s">
        <v>271</v>
      </c>
      <c r="L184" t="s">
        <v>272</v>
      </c>
      <c r="M184" t="s">
        <v>270</v>
      </c>
      <c r="N184" t="s">
        <v>78</v>
      </c>
      <c r="O184" t="s">
        <v>127</v>
      </c>
      <c r="P184" s="12">
        <v>4125469.59</v>
      </c>
      <c r="Q184" s="12">
        <v>51414.13</v>
      </c>
      <c r="R184">
        <v>80.239999999999995</v>
      </c>
      <c r="S184" t="s">
        <v>128</v>
      </c>
      <c r="T184" t="s">
        <v>120</v>
      </c>
      <c r="U184" t="s">
        <v>335</v>
      </c>
      <c r="V184" t="s">
        <v>80</v>
      </c>
      <c r="W184" t="s">
        <v>296</v>
      </c>
      <c r="X184" t="s">
        <v>77</v>
      </c>
      <c r="Y184" t="s">
        <v>120</v>
      </c>
      <c r="Z184" t="s">
        <v>414</v>
      </c>
      <c r="AA184" t="s">
        <v>129</v>
      </c>
      <c r="AB184" t="s">
        <v>129</v>
      </c>
      <c r="AC184" t="s">
        <v>79</v>
      </c>
      <c r="AD184" t="s">
        <v>411</v>
      </c>
    </row>
    <row r="185" spans="1:30">
      <c r="A185" t="s">
        <v>334</v>
      </c>
      <c r="B185" t="s">
        <v>120</v>
      </c>
      <c r="C185" t="s">
        <v>367</v>
      </c>
      <c r="D185" t="s">
        <v>367</v>
      </c>
      <c r="E185" t="s">
        <v>415</v>
      </c>
      <c r="F185" t="s">
        <v>409</v>
      </c>
      <c r="G185" t="s">
        <v>121</v>
      </c>
      <c r="H185" t="s">
        <v>260</v>
      </c>
      <c r="I185" t="s">
        <v>261</v>
      </c>
      <c r="J185" t="s">
        <v>262</v>
      </c>
      <c r="K185" t="s">
        <v>263</v>
      </c>
      <c r="L185" t="s">
        <v>264</v>
      </c>
      <c r="M185" t="s">
        <v>262</v>
      </c>
      <c r="N185" t="s">
        <v>78</v>
      </c>
      <c r="O185" t="s">
        <v>135</v>
      </c>
      <c r="P185" s="12">
        <v>-4125469.59</v>
      </c>
      <c r="Q185" s="12">
        <v>-51414.13</v>
      </c>
      <c r="R185">
        <v>80.239999999999995</v>
      </c>
      <c r="S185" t="s">
        <v>128</v>
      </c>
      <c r="T185" t="s">
        <v>120</v>
      </c>
      <c r="U185" t="s">
        <v>335</v>
      </c>
      <c r="V185" t="s">
        <v>80</v>
      </c>
      <c r="W185" t="s">
        <v>296</v>
      </c>
      <c r="X185" t="s">
        <v>77</v>
      </c>
      <c r="Y185" t="s">
        <v>120</v>
      </c>
      <c r="Z185" t="s">
        <v>414</v>
      </c>
      <c r="AA185" t="s">
        <v>129</v>
      </c>
      <c r="AB185" t="s">
        <v>129</v>
      </c>
      <c r="AC185" t="s">
        <v>79</v>
      </c>
      <c r="AD185" t="s">
        <v>411</v>
      </c>
    </row>
    <row r="186" spans="1:30">
      <c r="A186" t="s">
        <v>334</v>
      </c>
      <c r="B186" t="s">
        <v>120</v>
      </c>
      <c r="C186" t="s">
        <v>367</v>
      </c>
      <c r="D186" t="s">
        <v>367</v>
      </c>
      <c r="E186" t="s">
        <v>416</v>
      </c>
      <c r="F186" t="s">
        <v>409</v>
      </c>
      <c r="G186" t="s">
        <v>121</v>
      </c>
      <c r="H186" t="s">
        <v>260</v>
      </c>
      <c r="I186" t="s">
        <v>307</v>
      </c>
      <c r="J186" t="s">
        <v>308</v>
      </c>
      <c r="K186" t="s">
        <v>309</v>
      </c>
      <c r="L186" t="s">
        <v>310</v>
      </c>
      <c r="M186" t="s">
        <v>308</v>
      </c>
      <c r="N186" t="s">
        <v>78</v>
      </c>
      <c r="O186" t="s">
        <v>127</v>
      </c>
      <c r="P186" s="12">
        <v>0</v>
      </c>
      <c r="Q186" s="12">
        <v>2248.75</v>
      </c>
      <c r="R186">
        <v>80.239999999999995</v>
      </c>
      <c r="S186" t="s">
        <v>128</v>
      </c>
      <c r="T186" t="s">
        <v>120</v>
      </c>
      <c r="U186" t="s">
        <v>335</v>
      </c>
      <c r="V186" t="s">
        <v>80</v>
      </c>
      <c r="W186" t="s">
        <v>296</v>
      </c>
      <c r="X186" t="s">
        <v>77</v>
      </c>
      <c r="Y186" t="s">
        <v>120</v>
      </c>
      <c r="Z186" t="s">
        <v>417</v>
      </c>
      <c r="AA186" t="s">
        <v>129</v>
      </c>
      <c r="AB186" t="s">
        <v>129</v>
      </c>
      <c r="AC186" t="s">
        <v>79</v>
      </c>
      <c r="AD186" t="s">
        <v>411</v>
      </c>
    </row>
    <row r="187" spans="1:30">
      <c r="A187" t="s">
        <v>334</v>
      </c>
      <c r="B187" t="s">
        <v>120</v>
      </c>
      <c r="C187" t="s">
        <v>367</v>
      </c>
      <c r="D187" t="s">
        <v>367</v>
      </c>
      <c r="E187" t="s">
        <v>418</v>
      </c>
      <c r="F187" t="s">
        <v>409</v>
      </c>
      <c r="G187" t="s">
        <v>121</v>
      </c>
      <c r="H187" t="s">
        <v>260</v>
      </c>
      <c r="I187" t="s">
        <v>340</v>
      </c>
      <c r="J187" t="s">
        <v>341</v>
      </c>
      <c r="K187" t="s">
        <v>342</v>
      </c>
      <c r="L187" t="s">
        <v>343</v>
      </c>
      <c r="M187" t="s">
        <v>341</v>
      </c>
      <c r="N187" t="s">
        <v>78</v>
      </c>
      <c r="O187" t="s">
        <v>127</v>
      </c>
      <c r="P187" s="12">
        <v>198717.08</v>
      </c>
      <c r="Q187" s="12">
        <v>2476.5300000000002</v>
      </c>
      <c r="R187">
        <v>80.239999999999995</v>
      </c>
      <c r="S187" t="s">
        <v>128</v>
      </c>
      <c r="T187" t="s">
        <v>120</v>
      </c>
      <c r="U187" t="s">
        <v>335</v>
      </c>
      <c r="V187" t="s">
        <v>80</v>
      </c>
      <c r="W187" t="s">
        <v>296</v>
      </c>
      <c r="X187" t="s">
        <v>77</v>
      </c>
      <c r="Y187" t="s">
        <v>120</v>
      </c>
      <c r="Z187" t="s">
        <v>419</v>
      </c>
      <c r="AA187" t="s">
        <v>129</v>
      </c>
      <c r="AB187" t="s">
        <v>129</v>
      </c>
      <c r="AC187" t="s">
        <v>79</v>
      </c>
      <c r="AD187" t="s">
        <v>411</v>
      </c>
    </row>
    <row r="188" spans="1:30">
      <c r="A188" t="s">
        <v>334</v>
      </c>
      <c r="B188" t="s">
        <v>120</v>
      </c>
      <c r="C188" t="s">
        <v>367</v>
      </c>
      <c r="D188" t="s">
        <v>367</v>
      </c>
      <c r="E188" t="s">
        <v>420</v>
      </c>
      <c r="F188" t="s">
        <v>409</v>
      </c>
      <c r="G188" t="s">
        <v>121</v>
      </c>
      <c r="H188" t="s">
        <v>140</v>
      </c>
      <c r="I188" t="s">
        <v>145</v>
      </c>
      <c r="J188" t="s">
        <v>146</v>
      </c>
      <c r="K188" t="s">
        <v>147</v>
      </c>
      <c r="L188" t="s">
        <v>347</v>
      </c>
      <c r="M188" t="s">
        <v>146</v>
      </c>
      <c r="N188" t="s">
        <v>78</v>
      </c>
      <c r="O188" t="s">
        <v>135</v>
      </c>
      <c r="P188" s="12">
        <v>-11431440.77</v>
      </c>
      <c r="Q188" s="12">
        <v>-142465.60999999999</v>
      </c>
      <c r="R188">
        <v>80.239999999999995</v>
      </c>
      <c r="S188" t="s">
        <v>128</v>
      </c>
      <c r="T188" t="s">
        <v>120</v>
      </c>
      <c r="U188" t="s">
        <v>335</v>
      </c>
      <c r="V188" t="s">
        <v>80</v>
      </c>
      <c r="W188" t="s">
        <v>296</v>
      </c>
      <c r="X188" t="s">
        <v>77</v>
      </c>
      <c r="Y188" t="s">
        <v>120</v>
      </c>
      <c r="Z188" t="s">
        <v>421</v>
      </c>
      <c r="AA188" t="s">
        <v>129</v>
      </c>
      <c r="AB188" t="s">
        <v>129</v>
      </c>
      <c r="AC188" t="s">
        <v>79</v>
      </c>
      <c r="AD188" t="s">
        <v>411</v>
      </c>
    </row>
    <row r="189" spans="1:30">
      <c r="A189" t="s">
        <v>334</v>
      </c>
      <c r="B189" t="s">
        <v>120</v>
      </c>
      <c r="C189" t="s">
        <v>367</v>
      </c>
      <c r="D189" t="s">
        <v>367</v>
      </c>
      <c r="E189" t="s">
        <v>422</v>
      </c>
      <c r="F189" t="s">
        <v>409</v>
      </c>
      <c r="G189" t="s">
        <v>121</v>
      </c>
      <c r="H189" t="s">
        <v>140</v>
      </c>
      <c r="I189" t="s">
        <v>141</v>
      </c>
      <c r="J189" t="s">
        <v>142</v>
      </c>
      <c r="K189" t="s">
        <v>143</v>
      </c>
      <c r="L189" t="s">
        <v>144</v>
      </c>
      <c r="M189" t="s">
        <v>142</v>
      </c>
      <c r="N189" t="s">
        <v>78</v>
      </c>
      <c r="O189" t="s">
        <v>127</v>
      </c>
      <c r="P189" s="12">
        <v>11232723.689999999</v>
      </c>
      <c r="Q189" s="12">
        <v>137740.32999999999</v>
      </c>
      <c r="R189">
        <v>80.239999999999995</v>
      </c>
      <c r="S189" t="s">
        <v>128</v>
      </c>
      <c r="T189" t="s">
        <v>120</v>
      </c>
      <c r="U189" t="s">
        <v>335</v>
      </c>
      <c r="V189" t="s">
        <v>80</v>
      </c>
      <c r="W189" t="s">
        <v>296</v>
      </c>
      <c r="X189" t="s">
        <v>77</v>
      </c>
      <c r="Y189" t="s">
        <v>120</v>
      </c>
      <c r="Z189" t="s">
        <v>423</v>
      </c>
      <c r="AA189" t="s">
        <v>129</v>
      </c>
      <c r="AB189" t="s">
        <v>129</v>
      </c>
      <c r="AC189" t="s">
        <v>79</v>
      </c>
      <c r="AD189" t="s">
        <v>411</v>
      </c>
    </row>
    <row r="191" spans="1:30">
      <c r="P191" s="13">
        <f>M161*N161</f>
        <v>11232723.689999999</v>
      </c>
      <c r="Q191" s="13">
        <f>P189/R189-Q186</f>
        <v>137740.328888335</v>
      </c>
    </row>
    <row r="192" spans="1:30">
      <c r="P192" s="13">
        <f>O155*Q155-AT155-AZ155</f>
        <v>11431440.770000001</v>
      </c>
      <c r="Q192" s="13">
        <f>P192/R189</f>
        <v>142465.61278664009</v>
      </c>
    </row>
    <row r="193" spans="1:46">
      <c r="O193" s="15" t="s">
        <v>424</v>
      </c>
      <c r="P193" s="13">
        <f>P192-P191</f>
        <v>198717.08000000194</v>
      </c>
      <c r="Q193" s="13">
        <f>P193/R189</f>
        <v>2476.5338983051092</v>
      </c>
    </row>
    <row r="197" spans="1:46">
      <c r="A197" s="15" t="s">
        <v>181</v>
      </c>
    </row>
    <row r="198" spans="1:46" ht="32" customHeight="1">
      <c r="A198" s="26" t="s">
        <v>91</v>
      </c>
      <c r="B198" s="26" t="s">
        <v>182</v>
      </c>
      <c r="C198" s="26" t="s">
        <v>183</v>
      </c>
      <c r="D198" s="26" t="s">
        <v>184</v>
      </c>
      <c r="E198" s="26" t="s">
        <v>94</v>
      </c>
      <c r="F198" s="26" t="s">
        <v>185</v>
      </c>
      <c r="G198" s="26" t="s">
        <v>186</v>
      </c>
      <c r="H198" s="26" t="s">
        <v>187</v>
      </c>
      <c r="I198" s="26" t="s">
        <v>0</v>
      </c>
      <c r="J198" s="26" t="s">
        <v>188</v>
      </c>
      <c r="K198" s="27" t="s">
        <v>159</v>
      </c>
      <c r="L198" s="26" t="s">
        <v>109</v>
      </c>
      <c r="M198" s="64" t="s">
        <v>189</v>
      </c>
      <c r="N198" s="64"/>
      <c r="O198" s="64" t="s">
        <v>172</v>
      </c>
      <c r="P198" s="64"/>
      <c r="Q198" s="64" t="s">
        <v>113</v>
      </c>
      <c r="R198" s="64"/>
      <c r="S198" s="64" t="s">
        <v>190</v>
      </c>
      <c r="T198" s="64"/>
      <c r="U198" s="26" t="s">
        <v>191</v>
      </c>
      <c r="V198" s="26" t="s">
        <v>192</v>
      </c>
      <c r="W198" s="26" t="s">
        <v>193</v>
      </c>
      <c r="X198" s="62" t="s">
        <v>157</v>
      </c>
      <c r="Y198" s="62"/>
      <c r="Z198" s="62" t="s">
        <v>194</v>
      </c>
      <c r="AA198" s="62"/>
      <c r="AB198" s="62" t="s">
        <v>195</v>
      </c>
      <c r="AC198" s="62"/>
      <c r="AD198" s="27" t="s">
        <v>196</v>
      </c>
      <c r="AE198" s="27" t="s">
        <v>197</v>
      </c>
      <c r="AF198" s="27" t="s">
        <v>198</v>
      </c>
      <c r="AG198" s="27" t="s">
        <v>199</v>
      </c>
      <c r="AH198" s="27" t="s">
        <v>200</v>
      </c>
      <c r="AI198" s="27" t="s">
        <v>201</v>
      </c>
      <c r="AJ198" s="27" t="s">
        <v>202</v>
      </c>
      <c r="AK198" s="27" t="s">
        <v>203</v>
      </c>
      <c r="AL198" s="27" t="s">
        <v>204</v>
      </c>
      <c r="AM198" s="27" t="s">
        <v>205</v>
      </c>
      <c r="AN198" s="27" t="s">
        <v>206</v>
      </c>
      <c r="AO198" s="28" t="s">
        <v>207</v>
      </c>
      <c r="AP198" s="29"/>
      <c r="AQ198" s="62" t="s">
        <v>208</v>
      </c>
      <c r="AR198" s="62"/>
      <c r="AS198" s="30" t="s">
        <v>209</v>
      </c>
    </row>
    <row r="199" spans="1:46" ht="15" customHeight="1">
      <c r="A199" s="63" t="s">
        <v>253</v>
      </c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</row>
    <row r="200" spans="1:46" ht="27" customHeight="1">
      <c r="A200" s="19" t="s">
        <v>334</v>
      </c>
      <c r="B200" s="19" t="s">
        <v>358</v>
      </c>
      <c r="C200" s="19" t="s">
        <v>254</v>
      </c>
      <c r="D200" s="19" t="s">
        <v>255</v>
      </c>
      <c r="E200" s="20">
        <v>45374</v>
      </c>
      <c r="F200" s="20">
        <v>45374</v>
      </c>
      <c r="G200" s="19" t="s">
        <v>409</v>
      </c>
      <c r="H200" s="19" t="s">
        <v>296</v>
      </c>
      <c r="I200" s="19" t="s">
        <v>335</v>
      </c>
      <c r="J200" s="19" t="s">
        <v>359</v>
      </c>
      <c r="K200" s="24">
        <v>50500</v>
      </c>
      <c r="L200" s="31" t="s">
        <v>128</v>
      </c>
      <c r="N200" s="60" t="s">
        <v>211</v>
      </c>
      <c r="O200" s="60"/>
      <c r="P200" s="60" t="s">
        <v>83</v>
      </c>
      <c r="Q200" s="60"/>
      <c r="R200" s="60" t="s">
        <v>77</v>
      </c>
      <c r="S200" s="60"/>
      <c r="T200" s="59" t="s">
        <v>212</v>
      </c>
      <c r="U200" s="59"/>
      <c r="Y200" s="65">
        <v>23616</v>
      </c>
      <c r="Z200" s="65"/>
      <c r="AA200" s="66">
        <v>484.22</v>
      </c>
      <c r="AB200" s="66"/>
      <c r="AC200" s="24">
        <v>142514.20000000001</v>
      </c>
      <c r="AD200" s="24" t="s">
        <v>213</v>
      </c>
      <c r="AE200" s="24">
        <v>8.44</v>
      </c>
      <c r="AF200" s="23">
        <v>5.9222168738273101E-3</v>
      </c>
      <c r="AG200" s="24">
        <v>40.15</v>
      </c>
      <c r="AH200" s="24">
        <v>0</v>
      </c>
      <c r="AI200" s="24">
        <v>0</v>
      </c>
      <c r="AJ200" s="24">
        <v>11431440.77</v>
      </c>
      <c r="AK200" s="24">
        <v>142465.60999999999</v>
      </c>
      <c r="AL200" s="24">
        <v>11232723.689999999</v>
      </c>
      <c r="AM200" s="24">
        <v>137740.32999999999</v>
      </c>
      <c r="AN200" s="24">
        <v>198717.08</v>
      </c>
      <c r="AO200" s="24">
        <v>2476.5300000000002</v>
      </c>
      <c r="AQ200" s="65">
        <v>0</v>
      </c>
      <c r="AR200" s="65"/>
      <c r="AS200" s="24">
        <v>0</v>
      </c>
    </row>
    <row r="202" spans="1:46">
      <c r="Z202" s="41">
        <f>Y200*AA200</f>
        <v>11435339.520000001</v>
      </c>
      <c r="AC202" s="41">
        <f>Z202/R189</f>
        <v>142514.20139581259</v>
      </c>
      <c r="AD202" s="42"/>
      <c r="AE202" s="42"/>
      <c r="AF202" s="42"/>
      <c r="AG202" s="42"/>
      <c r="AH202" s="42"/>
      <c r="AI202" s="42"/>
      <c r="AJ202" s="41">
        <f>Z202-AT155-AZ155</f>
        <v>11431440.770000001</v>
      </c>
      <c r="AK202" s="41">
        <f>AJ200/R189</f>
        <v>142465.61278664009</v>
      </c>
      <c r="AL202" s="41">
        <f>P191</f>
        <v>11232723.689999999</v>
      </c>
      <c r="AM202" s="57">
        <f>Q189</f>
        <v>137740.32999999999</v>
      </c>
      <c r="AN202" s="41">
        <f>AJ200-AL200</f>
        <v>198717.08000000007</v>
      </c>
      <c r="AO202" s="41">
        <f>AN200/R189</f>
        <v>2476.5338983050847</v>
      </c>
    </row>
  </sheetData>
  <mergeCells count="45">
    <mergeCell ref="AB45:AC45"/>
    <mergeCell ref="AQ45:AR45"/>
    <mergeCell ref="A46:AT46"/>
    <mergeCell ref="N47:O47"/>
    <mergeCell ref="P47:Q47"/>
    <mergeCell ref="R47:S47"/>
    <mergeCell ref="T47:U47"/>
    <mergeCell ref="Y47:Z47"/>
    <mergeCell ref="AA47:AB47"/>
    <mergeCell ref="AQ47:AR47"/>
    <mergeCell ref="M45:N45"/>
    <mergeCell ref="O45:P45"/>
    <mergeCell ref="Q45:R45"/>
    <mergeCell ref="S45:T45"/>
    <mergeCell ref="X45:Y45"/>
    <mergeCell ref="Z45:AA45"/>
    <mergeCell ref="B148:C148"/>
    <mergeCell ref="N48:O48"/>
    <mergeCell ref="P48:Q48"/>
    <mergeCell ref="R48:S48"/>
    <mergeCell ref="T48:U48"/>
    <mergeCell ref="AQ48:AR48"/>
    <mergeCell ref="B53:C53"/>
    <mergeCell ref="B54:C54"/>
    <mergeCell ref="B87:C87"/>
    <mergeCell ref="B88:C88"/>
    <mergeCell ref="Y48:Z48"/>
    <mergeCell ref="AA48:AB48"/>
    <mergeCell ref="B149:C149"/>
    <mergeCell ref="M198:N198"/>
    <mergeCell ref="O198:P198"/>
    <mergeCell ref="Q198:R198"/>
    <mergeCell ref="S198:T198"/>
    <mergeCell ref="AQ200:AR200"/>
    <mergeCell ref="Z198:AA198"/>
    <mergeCell ref="AB198:AC198"/>
    <mergeCell ref="AQ198:AR198"/>
    <mergeCell ref="A199:AT199"/>
    <mergeCell ref="N200:O200"/>
    <mergeCell ref="P200:Q200"/>
    <mergeCell ref="R200:S200"/>
    <mergeCell ref="T200:U200"/>
    <mergeCell ref="Y200:Z200"/>
    <mergeCell ref="AA200:AB200"/>
    <mergeCell ref="X198:Y1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WAG</vt:lpstr>
      <vt:lpstr>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2024-11-28T10:46:54Z</dcterms:created>
  <dcterms:modified xsi:type="dcterms:W3CDTF">2025-01-06T13:59:33Z</dcterms:modified>
</cp:coreProperties>
</file>