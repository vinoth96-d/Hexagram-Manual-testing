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ot\Documents\KFIN\WAG FIFO\WAG &amp; FIFO test results\"/>
    </mc:Choice>
  </mc:AlternateContent>
  <xr:revisionPtr revIDLastSave="0" documentId="13_ncr:1_{5FE2182D-0696-4F28-B2ED-5938C67B85CE}" xr6:coauthVersionLast="47" xr6:coauthVersionMax="47" xr10:uidLastSave="{00000000-0000-0000-0000-000000000000}"/>
  <bookViews>
    <workbookView xWindow="-110" yWindow="-110" windowWidth="19420" windowHeight="10300" xr2:uid="{B5651348-0B6B-4DC5-A57A-0E4600444308}"/>
  </bookViews>
  <sheets>
    <sheet name="WAG" sheetId="4" r:id="rId1"/>
    <sheet name="FIFO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7" i="7" l="1"/>
  <c r="R2" i="7"/>
  <c r="T2" i="7"/>
  <c r="W2" i="7"/>
  <c r="X2" i="7" s="1"/>
  <c r="R3" i="7"/>
  <c r="T3" i="7" s="1"/>
  <c r="W3" i="7"/>
  <c r="X3" i="7" s="1"/>
  <c r="L50" i="7"/>
  <c r="M50" i="7"/>
  <c r="O50" i="7"/>
  <c r="P50" i="7"/>
  <c r="T61" i="7"/>
  <c r="T62" i="7"/>
  <c r="T63" i="7"/>
  <c r="T64" i="7"/>
  <c r="P66" i="7"/>
  <c r="P67" i="7"/>
  <c r="O98" i="7"/>
  <c r="P98" i="7"/>
  <c r="Y98" i="7"/>
  <c r="Z98" i="7"/>
  <c r="AD98" i="7"/>
  <c r="AE98" i="7"/>
  <c r="M138" i="7"/>
  <c r="Z138" i="7" s="1"/>
  <c r="O138" i="7"/>
  <c r="P138" i="7"/>
  <c r="Y138" i="7"/>
  <c r="AD138" i="7"/>
  <c r="AE138" i="7"/>
  <c r="Z139" i="7"/>
  <c r="AC138" i="7" s="1"/>
  <c r="P148" i="7"/>
  <c r="Q148" i="7"/>
  <c r="R153" i="7"/>
  <c r="T153" i="7"/>
  <c r="W153" i="7"/>
  <c r="X153" i="7" s="1"/>
  <c r="AK153" i="7"/>
  <c r="L194" i="7"/>
  <c r="M194" i="7"/>
  <c r="L197" i="7"/>
  <c r="O197" i="7"/>
  <c r="P197" i="7"/>
  <c r="Y197" i="7"/>
  <c r="Z197" i="7"/>
  <c r="Z198" i="7"/>
  <c r="P211" i="7"/>
  <c r="Q211" i="7"/>
  <c r="Z218" i="7"/>
  <c r="AC218" i="7" s="1"/>
  <c r="Q139" i="4"/>
  <c r="P139" i="4"/>
  <c r="AD125" i="4"/>
  <c r="AC125" i="4"/>
  <c r="AK2" i="7" l="1"/>
  <c r="AK3" i="7"/>
  <c r="R129" i="4"/>
  <c r="W129" i="4" s="1"/>
  <c r="X129" i="4" s="1"/>
  <c r="AD123" i="4"/>
  <c r="AC123" i="4"/>
  <c r="L123" i="4"/>
  <c r="X123" i="4"/>
  <c r="O123" i="4"/>
  <c r="Y123" i="4" s="1"/>
  <c r="N123" i="4"/>
  <c r="T129" i="4" l="1"/>
  <c r="L80" i="4"/>
  <c r="X80" i="4"/>
  <c r="O80" i="4"/>
  <c r="Y80" i="4" s="1"/>
  <c r="N80" i="4"/>
  <c r="L45" i="4"/>
  <c r="I45" i="4"/>
  <c r="K45" i="4"/>
  <c r="H45" i="4"/>
  <c r="R29" i="4"/>
  <c r="W29" i="4" s="1"/>
  <c r="X29" i="4" s="1"/>
  <c r="R28" i="4"/>
  <c r="T28" i="4" s="1"/>
  <c r="W28" i="4" l="1"/>
  <c r="X28" i="4" s="1"/>
  <c r="T29" i="4"/>
</calcChain>
</file>

<file path=xl/sharedStrings.xml><?xml version="1.0" encoding="utf-8"?>
<sst xmlns="http://schemas.openxmlformats.org/spreadsheetml/2006/main" count="1908" uniqueCount="323">
  <si>
    <t>Security</t>
  </si>
  <si>
    <t>Upload Currency</t>
  </si>
  <si>
    <t>portfolio</t>
  </si>
  <si>
    <t>invest_category</t>
  </si>
  <si>
    <t>custodian</t>
  </si>
  <si>
    <t>asset_class</t>
  </si>
  <si>
    <t>security</t>
  </si>
  <si>
    <t>security_base</t>
  </si>
  <si>
    <t>currency</t>
  </si>
  <si>
    <t>portfolio_ccy</t>
  </si>
  <si>
    <t>Derivative_type</t>
  </si>
  <si>
    <t>option_type</t>
  </si>
  <si>
    <t>call_put</t>
  </si>
  <si>
    <t>dealslip_no</t>
  </si>
  <si>
    <t>dealer</t>
  </si>
  <si>
    <t>Fund_manager</t>
  </si>
  <si>
    <t>quantity</t>
  </si>
  <si>
    <t>strike_price</t>
  </si>
  <si>
    <t>premium</t>
  </si>
  <si>
    <t>gross_amt_tcy</t>
  </si>
  <si>
    <t>Exch_rate</t>
  </si>
  <si>
    <t>gross_amt_pcy</t>
  </si>
  <si>
    <t>trade_fee_tcy</t>
  </si>
  <si>
    <t>trade_fee_pcy</t>
  </si>
  <si>
    <t>net_amount_tcy</t>
  </si>
  <si>
    <t>net_amount_pcy</t>
  </si>
  <si>
    <t>broker</t>
  </si>
  <si>
    <t>exchange</t>
  </si>
  <si>
    <t>Segment</t>
  </si>
  <si>
    <t>Delivery_type</t>
  </si>
  <si>
    <t>trans_code</t>
  </si>
  <si>
    <t>trade_date</t>
  </si>
  <si>
    <t>trans_date</t>
  </si>
  <si>
    <t>setl_date</t>
  </si>
  <si>
    <t>maturity_date</t>
  </si>
  <si>
    <t>bank_txn_mode</t>
  </si>
  <si>
    <t>bank_acc_code</t>
  </si>
  <si>
    <t>bank_exch_pcy_rate</t>
  </si>
  <si>
    <t>bank_acc_amt_acy</t>
  </si>
  <si>
    <t>bank_txn_ref</t>
  </si>
  <si>
    <t>bank_txn_date</t>
  </si>
  <si>
    <t>bank_txn_chrg_acy</t>
  </si>
  <si>
    <t>bank_txn_chrg_pcy</t>
  </si>
  <si>
    <t>rec_origin_ref</t>
  </si>
  <si>
    <t>rec_remarks</t>
  </si>
  <si>
    <t>fee1_type</t>
  </si>
  <si>
    <t>fee1_currency</t>
  </si>
  <si>
    <t>fee1_amt_tcy</t>
  </si>
  <si>
    <t>fee1_amt_fcy</t>
  </si>
  <si>
    <t>fee1_exch_rate</t>
  </si>
  <si>
    <t>fee1_amt_pcy</t>
  </si>
  <si>
    <t>fee2_type</t>
  </si>
  <si>
    <t>fee2_currency</t>
  </si>
  <si>
    <t>fee2_amt_tcy</t>
  </si>
  <si>
    <t>fee2_amt_fcy</t>
  </si>
  <si>
    <t>fee2_exch_rate</t>
  </si>
  <si>
    <t>fee2_amt_pcy</t>
  </si>
  <si>
    <t>fee3_type</t>
  </si>
  <si>
    <t>fee3_currency</t>
  </si>
  <si>
    <t>fee3_amt_tcy</t>
  </si>
  <si>
    <t>fee3_amt_fcy</t>
  </si>
  <si>
    <t>fee3_exch_rate</t>
  </si>
  <si>
    <t>fee3_amt_pcy</t>
  </si>
  <si>
    <t>fee4_type</t>
  </si>
  <si>
    <t>fee4_currency</t>
  </si>
  <si>
    <t>fee4_amt_tcy</t>
  </si>
  <si>
    <t>fee4_amt_fcy</t>
  </si>
  <si>
    <t>fee4_exch_rate</t>
  </si>
  <si>
    <t>fee4_amt_pcy</t>
  </si>
  <si>
    <t>fee5_type</t>
  </si>
  <si>
    <t>fee5_currency</t>
  </si>
  <si>
    <t>fee5_amt_tcy</t>
  </si>
  <si>
    <t>fee5_amt_fcy</t>
  </si>
  <si>
    <t>fee5_exch_rate</t>
  </si>
  <si>
    <t>fee5_amt_pcy</t>
  </si>
  <si>
    <t>AAEARFIII</t>
  </si>
  <si>
    <t>INVEST</t>
  </si>
  <si>
    <t>DIRECT</t>
  </si>
  <si>
    <t>INR</t>
  </si>
  <si>
    <t>USD</t>
  </si>
  <si>
    <t>FUT</t>
  </si>
  <si>
    <t>NA</t>
  </si>
  <si>
    <t>NSE</t>
  </si>
  <si>
    <t>CM</t>
  </si>
  <si>
    <t>CH</t>
  </si>
  <si>
    <t>IFUPUR</t>
  </si>
  <si>
    <t>TRF</t>
  </si>
  <si>
    <t>AAEADERINR</t>
  </si>
  <si>
    <t>BRK</t>
  </si>
  <si>
    <t>STT</t>
  </si>
  <si>
    <t>Accounting Enquiry</t>
  </si>
  <si>
    <t>Portfolio</t>
  </si>
  <si>
    <t>Portfolio Class</t>
  </si>
  <si>
    <t>Entry Date</t>
  </si>
  <si>
    <t>Trans Date</t>
  </si>
  <si>
    <t>Ledger ID</t>
  </si>
  <si>
    <t>Trans ID</t>
  </si>
  <si>
    <t>Module Ref</t>
  </si>
  <si>
    <t>Account Type</t>
  </si>
  <si>
    <t>Control AC</t>
  </si>
  <si>
    <t>Control AC Name</t>
  </si>
  <si>
    <t>Gl Entry Code</t>
  </si>
  <si>
    <t>Gl Account</t>
  </si>
  <si>
    <t>Gl Account Name</t>
  </si>
  <si>
    <t>Currency</t>
  </si>
  <si>
    <t>Credit/Debit</t>
  </si>
  <si>
    <t>Amount Tcy</t>
  </si>
  <si>
    <t>Amount Pcy</t>
  </si>
  <si>
    <t>Exch Rate</t>
  </si>
  <si>
    <t>Asset Class</t>
  </si>
  <si>
    <t>Asset Group</t>
  </si>
  <si>
    <t>Security Type</t>
  </si>
  <si>
    <t>Trans Code</t>
  </si>
  <si>
    <t>Broker</t>
  </si>
  <si>
    <t>Counterparty</t>
  </si>
  <si>
    <t>Narration</t>
  </si>
  <si>
    <t>Is Reversed</t>
  </si>
  <si>
    <t>Is Sysgen</t>
  </si>
  <si>
    <t>Portfolio Currency</t>
  </si>
  <si>
    <t>Trans Ref</t>
  </si>
  <si>
    <t/>
  </si>
  <si>
    <t>DERTRAN_CONFIRM</t>
  </si>
  <si>
    <t>LIA</t>
  </si>
  <si>
    <t>223000</t>
  </si>
  <si>
    <t>LIABILITIES - FUTURES AND OPTIONS</t>
  </si>
  <si>
    <t>LIABFUTURE</t>
  </si>
  <si>
    <t>223000-55-INR</t>
  </si>
  <si>
    <t>Cr</t>
  </si>
  <si>
    <t>55</t>
  </si>
  <si>
    <t>N</t>
  </si>
  <si>
    <t>AST</t>
  </si>
  <si>
    <t>113300</t>
  </si>
  <si>
    <t>ASSETS -  FUTURES AND OPTIONS</t>
  </si>
  <si>
    <t>ASSETFUTURE</t>
  </si>
  <si>
    <t>113300-55-INR</t>
  </si>
  <si>
    <t>Dr</t>
  </si>
  <si>
    <t>Holding</t>
  </si>
  <si>
    <t>Symbol</t>
  </si>
  <si>
    <t xml:space="preserve">Security Name </t>
  </si>
  <si>
    <t xml:space="preserve">Security Listed </t>
  </si>
  <si>
    <t>TCY</t>
  </si>
  <si>
    <t>ISIN Code</t>
  </si>
  <si>
    <t>Maturity Date</t>
  </si>
  <si>
    <t>Quantity</t>
  </si>
  <si>
    <t>Average Price</t>
  </si>
  <si>
    <t>Strike Price</t>
  </si>
  <si>
    <t>Book Cost in TCY</t>
  </si>
  <si>
    <t>Book Cost in PCY</t>
  </si>
  <si>
    <t>Market Price</t>
  </si>
  <si>
    <t>Market Value in TCY</t>
  </si>
  <si>
    <t>Market Value in PCY</t>
  </si>
  <si>
    <t>% of NAV</t>
  </si>
  <si>
    <t>Interest Accruals in TCY</t>
  </si>
  <si>
    <t>Interest Accruals in PCY</t>
  </si>
  <si>
    <t>Accrued AOD TCY</t>
  </si>
  <si>
    <t>Accrued AOD PCY</t>
  </si>
  <si>
    <t>Amortised Cost PCY</t>
  </si>
  <si>
    <t>Amortised Cost Per Unit</t>
  </si>
  <si>
    <t>Exchange</t>
  </si>
  <si>
    <t>App/Dep in TCY</t>
  </si>
  <si>
    <t>App/Dep in PCY</t>
  </si>
  <si>
    <t>Unrel GL TCY</t>
  </si>
  <si>
    <t>Unrel GL PCY</t>
  </si>
  <si>
    <t>Unrel GL FX PCY</t>
  </si>
  <si>
    <t>Variable Margin TCY</t>
  </si>
  <si>
    <t>Variable Margin PCY</t>
  </si>
  <si>
    <t>Market Price Date</t>
  </si>
  <si>
    <t>Purchase Sale</t>
  </si>
  <si>
    <t>Portfolio Name</t>
  </si>
  <si>
    <t>Sector Name</t>
  </si>
  <si>
    <t>Industry Name</t>
  </si>
  <si>
    <t>Settlement Date</t>
  </si>
  <si>
    <t>Transaction ID</t>
  </si>
  <si>
    <t>Transaction Type</t>
  </si>
  <si>
    <t>Security Name</t>
  </si>
  <si>
    <t>Asset Name</t>
  </si>
  <si>
    <t>Broker Name</t>
  </si>
  <si>
    <t>CounterParty</t>
  </si>
  <si>
    <t>CounterParty Name</t>
  </si>
  <si>
    <t>Custodian Name</t>
  </si>
  <si>
    <t>Rate</t>
  </si>
  <si>
    <t>Gross Value</t>
  </si>
  <si>
    <t>Yield</t>
  </si>
  <si>
    <t>Brokerage</t>
  </si>
  <si>
    <t>Brokerage %</t>
  </si>
  <si>
    <t>Stt Amount</t>
  </si>
  <si>
    <t>Clearing Fees</t>
  </si>
  <si>
    <t>Others Fees</t>
  </si>
  <si>
    <t>Net Amount TCY</t>
  </si>
  <si>
    <t>Net Amount PCY</t>
  </si>
  <si>
    <t>Acquisition Cost TCY</t>
  </si>
  <si>
    <t>Acquisition Cost PCY</t>
  </si>
  <si>
    <t>Gain Loss TCY</t>
  </si>
  <si>
    <t>Gain Loss PCY</t>
  </si>
  <si>
    <t>Gross Interest TCY</t>
  </si>
  <si>
    <t>Gross Interest PCY</t>
  </si>
  <si>
    <t>Alpha Alternatives Equity Absolute Return Fund</t>
  </si>
  <si>
    <t>V01</t>
  </si>
  <si>
    <t>080</t>
  </si>
  <si>
    <t>Currency Forwards</t>
  </si>
  <si>
    <t>Direct</t>
  </si>
  <si>
    <t>0.0000%</t>
  </si>
  <si>
    <t xml:space="preserve">Upload Market Price </t>
  </si>
  <si>
    <t>VARIABLE_MARGIN</t>
  </si>
  <si>
    <t>INC</t>
  </si>
  <si>
    <t>610520</t>
  </si>
  <si>
    <t>Variable margin Income</t>
  </si>
  <si>
    <t>VARMARGININC</t>
  </si>
  <si>
    <t>610520-55-INR</t>
  </si>
  <si>
    <t>IFDMGN</t>
  </si>
  <si>
    <t>Y</t>
  </si>
  <si>
    <t>111520</t>
  </si>
  <si>
    <t>Futures Variable Margin Receivable</t>
  </si>
  <si>
    <t>FUTUREMARGINREC</t>
  </si>
  <si>
    <t>111520-INR</t>
  </si>
  <si>
    <t>USDNSEAPR2025FUT</t>
  </si>
  <si>
    <t>30-Nov-2024</t>
  </si>
  <si>
    <t>DT244101580007617202</t>
  </si>
  <si>
    <t>DT2441015800076172</t>
  </si>
  <si>
    <t xml:space="preserve">Purchase of - Buy 4321 quantity of USDNSEAPR2025FUT USDNSEAPR2025FUT-APR Series </t>
  </si>
  <si>
    <t>DT2441015800076170</t>
  </si>
  <si>
    <t>DT244101580007617201</t>
  </si>
  <si>
    <t>DT244101580007617102</t>
  </si>
  <si>
    <t>DT2441015800076171</t>
  </si>
  <si>
    <t xml:space="preserve">Purchase of - Buy 678 quantity of USDNSEAPR2025FUT USDNSEAPR2025FUT-APR Series </t>
  </si>
  <si>
    <t>DT2441015800076169</t>
  </si>
  <si>
    <t>DT244101580007617101</t>
  </si>
  <si>
    <t>Asset Class:55 - Currency Forwards</t>
  </si>
  <si>
    <t xml:space="preserve">USDNSEAPR2025FUT-APR Series </t>
  </si>
  <si>
    <t xml:space="preserve">USDNSEAPR2025FUT-AP R Series </t>
  </si>
  <si>
    <t>VM244101580001494202</t>
  </si>
  <si>
    <t>VM2441015800014942</t>
  </si>
  <si>
    <t xml:space="preserve">Variable Margin on Security USDNSEAPR2025FUT on the Price change USDNSEAPR2025FUT-APR Series </t>
  </si>
  <si>
    <t>VM244101580001494201</t>
  </si>
  <si>
    <t>Freeze NAV</t>
  </si>
  <si>
    <t>Create Forex Rate</t>
  </si>
  <si>
    <t>01-Dec-2024</t>
  </si>
  <si>
    <t>VM244101580001494402</t>
  </si>
  <si>
    <t>VM2441015800014944</t>
  </si>
  <si>
    <t>VM244101580001494401</t>
  </si>
  <si>
    <t>Complete Sell</t>
  </si>
  <si>
    <t xml:space="preserve">USDNSEAPR2025FUT	</t>
  </si>
  <si>
    <t>IFUSAL</t>
  </si>
  <si>
    <t>DT244101580007618402</t>
  </si>
  <si>
    <t>DT2441015800076184</t>
  </si>
  <si>
    <t xml:space="preserve">Cost of Sale on 4999 quantity of USDNSEAPR2025FUT USDNSEAPR2025FUT-APR Series </t>
  </si>
  <si>
    <t>DT2441015800076183</t>
  </si>
  <si>
    <t>DT244101580007618401</t>
  </si>
  <si>
    <t>Zerodha Broking Limited</t>
  </si>
  <si>
    <t>ZERODHA</t>
  </si>
  <si>
    <t xml:space="preserve">INRNSEJAN2025FUT-JAN Series </t>
  </si>
  <si>
    <t>INRNSEJAN2025FUT</t>
  </si>
  <si>
    <t>DT2442116260000018</t>
  </si>
  <si>
    <t>AIRAVAT GLOBAL TECHNOLOGY FUND R</t>
  </si>
  <si>
    <t>AGTFR</t>
  </si>
  <si>
    <t>DT2442116260000017</t>
  </si>
  <si>
    <t xml:space="preserve">Cost of Sale on 3000 quantity of INRNSEJAN2025FUT INRNSEJAN2025FUT-JAN Series </t>
  </si>
  <si>
    <t>DT244211626000001801</t>
  </si>
  <si>
    <t>07-Dec-2024</t>
  </si>
  <si>
    <t>DT244211626000001802</t>
  </si>
  <si>
    <t>1</t>
  </si>
  <si>
    <t>DT2442116260000016</t>
  </si>
  <si>
    <t>DT2442116260000015</t>
  </si>
  <si>
    <t>Forex Rate</t>
  </si>
  <si>
    <t>App/Dep in Fund CCY without FX</t>
  </si>
  <si>
    <t>FX Gain</t>
  </si>
  <si>
    <t>App/Dep in
Fund
Currency</t>
  </si>
  <si>
    <t>App/Dep in
Security Currency</t>
  </si>
  <si>
    <t>Amortised Cost in Security Currency</t>
  </si>
  <si>
    <t>Accrued AOD in Fund Currency</t>
  </si>
  <si>
    <t>Accrued AOD in Security Currency</t>
  </si>
  <si>
    <t>Accrued 
Interest in Fund Currency</t>
  </si>
  <si>
    <t>Accrued 
Interest in Security Currency</t>
  </si>
  <si>
    <t>Market Value in Fund
Currency</t>
  </si>
  <si>
    <t>Market Value in Security
Currency</t>
  </si>
  <si>
    <t>Book Cost at current FX</t>
  </si>
  <si>
    <t>Book Cost in Fund
Currency</t>
  </si>
  <si>
    <t>Book Cost in Security
Currency</t>
  </si>
  <si>
    <t>Quantity / Nominal</t>
  </si>
  <si>
    <t>Deemed Maturity Date</t>
  </si>
  <si>
    <t>No of Days</t>
  </si>
  <si>
    <t xml:space="preserve">
Settlement Date</t>
  </si>
  <si>
    <t>Purchase Date</t>
  </si>
  <si>
    <t>TaxLot Reference</t>
  </si>
  <si>
    <t>Holding Lot No</t>
  </si>
  <si>
    <t>Investment Category</t>
  </si>
  <si>
    <t>Security Currency</t>
  </si>
  <si>
    <t>Security Description</t>
  </si>
  <si>
    <t>Security Short Name</t>
  </si>
  <si>
    <t>Security Code</t>
  </si>
  <si>
    <t>Holding Statement by lot</t>
  </si>
  <si>
    <t xml:space="preserve">Holding Statement </t>
  </si>
  <si>
    <t>INTRANSITINR</t>
  </si>
  <si>
    <t>CUR-SELL</t>
  </si>
  <si>
    <t>2nd MMP</t>
  </si>
  <si>
    <t>1st MMP</t>
  </si>
  <si>
    <t>VM2442116260000007</t>
  </si>
  <si>
    <t xml:space="preserve">Variable Margin on Security INRNSEJAN2025FUT on the Price change INRNSEJAN2025FUT-JAN Series </t>
  </si>
  <si>
    <t>VM244211626000000701</t>
  </si>
  <si>
    <t>VM244211626000000702</t>
  </si>
  <si>
    <t>Holding Statement</t>
  </si>
  <si>
    <t>Intraday Done</t>
  </si>
  <si>
    <t>STRIKEPRICE</t>
  </si>
  <si>
    <t>FINALPRICE</t>
  </si>
  <si>
    <t>EXCHANGE</t>
  </si>
  <si>
    <t>VALUATIONDATE</t>
  </si>
  <si>
    <t>SECURITYNAME</t>
  </si>
  <si>
    <t>ISIN_CODE</t>
  </si>
  <si>
    <t>SECURITYCODE</t>
  </si>
  <si>
    <t>Upload Manual Market Price</t>
  </si>
  <si>
    <t>DT2442116260000013</t>
  </si>
  <si>
    <t xml:space="preserve">Purchase of - Buy 2500 quantity of INRNSEJAN2025FUT INRNSEJAN2025FUT-JAN Series </t>
  </si>
  <si>
    <t>DT244211626000001501</t>
  </si>
  <si>
    <t>06-Dec-2024</t>
  </si>
  <si>
    <t>DT244211626000001502</t>
  </si>
  <si>
    <t>DT2442116260000014</t>
  </si>
  <si>
    <t xml:space="preserve">Purchase of - Buy 1500 quantity of INRNSEJAN2025FUT INRNSEJAN2025FUT-JAN Series </t>
  </si>
  <si>
    <t>DT244211626000001601</t>
  </si>
  <si>
    <t>DT244211626000001602</t>
  </si>
  <si>
    <t>VM2442116260000005</t>
  </si>
  <si>
    <t>VM244211626000000501</t>
  </si>
  <si>
    <t>VM244211626000000502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</si>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</sst>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dd/mm/yyyy;@"/>
    <numFmt numFmtId="165" formatCode="##0.0000"/>
    <numFmt numFmtId="166" formatCode="dd\-mmm\-yy"/>
    <numFmt numFmtId="167" formatCode="#,#00.00"/>
    <numFmt numFmtId="168" formatCode="dd\-mmm\-yyyy"/>
    <numFmt numFmtId="169" formatCode="#,##0.0000;\(#,##0.0000\)"/>
    <numFmt numFmtId="170" formatCode="###,##0.0000;\(###,##0.0000\)"/>
    <numFmt numFmtId="171" formatCode="#,##0.000000"/>
    <numFmt numFmtId="172" formatCode="#,##0.00;\(#,##0.00\)"/>
    <numFmt numFmtId="173" formatCode="#,##0.0000"/>
    <numFmt numFmtId="174" formatCode="#,##0.00000;\(#,##0.00000\)"/>
    <numFmt numFmtId="175" formatCode="dd/mmm/yyyy"/>
  </numFmts>
  <fonts count="28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ptos Narrow"/>
      <family val="2"/>
      <scheme val="minor"/>
    </font>
    <font>
      <sz val="12"/>
      <color indexed="8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0"/>
      <color rgb="FF333333"/>
      <name val="Calibri"/>
      <family val="2"/>
    </font>
    <font>
      <sz val="11"/>
      <name val="Dialog"/>
      <family val="2"/>
    </font>
    <font>
      <b/>
      <sz val="11"/>
      <name val="Calibri"/>
      <family val="2"/>
    </font>
    <font>
      <b/>
      <sz val="8"/>
      <color indexed="8"/>
      <name val="Roboto Condensed"/>
    </font>
    <font>
      <sz val="8"/>
      <color indexed="8"/>
      <name val="Roboto"/>
    </font>
    <font>
      <b/>
      <sz val="10"/>
      <color indexed="8"/>
      <name val="Roboto Condensed"/>
    </font>
    <font>
      <b/>
      <sz val="10"/>
      <color indexed="8"/>
      <name val="Arial"/>
      <family val="2"/>
    </font>
    <font>
      <b/>
      <sz val="11"/>
      <name val="Calibri"/>
      <family val="2"/>
    </font>
    <font>
      <b/>
      <sz val="10"/>
      <color indexed="8"/>
      <name val="Arial"/>
      <family val="2"/>
    </font>
    <font>
      <b/>
      <sz val="10"/>
      <color indexed="8"/>
      <name val="Roboto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5"/>
      <color indexed="8"/>
      <name val="Roboto"/>
    </font>
    <font>
      <b/>
      <sz val="6"/>
      <color indexed="8"/>
      <name val="Roboto Condensed"/>
    </font>
    <font>
      <sz val="11"/>
      <name val="Calibri"/>
      <family val="2"/>
    </font>
    <font>
      <sz val="11"/>
      <color theme="1"/>
      <name val="Calibri"/>
      <family val="2"/>
    </font>
    <font>
      <sz val="8"/>
      <name val="Book Antiqua"/>
      <family val="1"/>
    </font>
    <font>
      <sz val="11"/>
      <name val="Arial"/>
      <family val="2"/>
    </font>
    <font>
      <sz val="11"/>
      <name val="Aptos Narrow"/>
      <family val="2"/>
      <scheme val="minor"/>
    </font>
    <font>
      <sz val="10"/>
      <color indexed="8"/>
      <name val="Roboto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EFF"/>
      </patternFill>
    </fill>
    <fill>
      <patternFill patternType="solid">
        <fgColor rgb="FFDDEEFF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 style="hair">
        <color rgb="FFEBEBF6"/>
      </right>
      <top/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18" fillId="0" borderId="0">
      <alignment vertical="center"/>
    </xf>
  </cellStyleXfs>
  <cellXfs count="145">
    <xf numFmtId="0" fontId="0" fillId="0" borderId="0" xfId="0"/>
    <xf numFmtId="0" fontId="3" fillId="2" borderId="0" xfId="1" applyFont="1" applyFill="1">
      <alignment vertical="center"/>
    </xf>
    <xf numFmtId="0" fontId="1" fillId="2" borderId="0" xfId="1" applyFill="1">
      <alignment vertical="center"/>
    </xf>
    <xf numFmtId="2" fontId="4" fillId="0" borderId="0" xfId="1" applyNumberFormat="1" applyFont="1" applyAlignment="1"/>
    <xf numFmtId="0" fontId="5" fillId="0" borderId="0" xfId="1" applyFont="1" applyAlignment="1"/>
    <xf numFmtId="0" fontId="6" fillId="0" borderId="0" xfId="1" applyFont="1" applyAlignment="1"/>
    <xf numFmtId="0" fontId="7" fillId="0" borderId="0" xfId="1" applyFont="1">
      <alignment vertical="center"/>
    </xf>
    <xf numFmtId="165" fontId="5" fillId="0" borderId="0" xfId="1" applyNumberFormat="1" applyFont="1" applyAlignment="1"/>
    <xf numFmtId="0" fontId="8" fillId="2" borderId="0" xfId="1" applyFont="1" applyFill="1" applyAlignment="1">
      <alignment horizontal="right"/>
    </xf>
    <xf numFmtId="166" fontId="6" fillId="0" borderId="0" xfId="1" applyNumberFormat="1" applyFont="1" applyAlignment="1"/>
    <xf numFmtId="166" fontId="5" fillId="0" borderId="0" xfId="1" applyNumberFormat="1" applyFont="1" applyAlignment="1"/>
    <xf numFmtId="0" fontId="0" fillId="4" borderId="0" xfId="0" applyFill="1"/>
    <xf numFmtId="0" fontId="9" fillId="0" borderId="0" xfId="0" applyFont="1" applyAlignment="1">
      <alignment horizontal="center" vertical="center"/>
    </xf>
    <xf numFmtId="167" fontId="0" fillId="0" borderId="0" xfId="0" applyNumberFormat="1"/>
    <xf numFmtId="4" fontId="0" fillId="0" borderId="0" xfId="0" applyNumberFormat="1"/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168" fontId="11" fillId="0" borderId="0" xfId="0" applyNumberFormat="1" applyFont="1" applyAlignment="1">
      <alignment horizontal="left" vertical="center" wrapText="1"/>
    </xf>
    <xf numFmtId="169" fontId="11" fillId="0" borderId="0" xfId="0" applyNumberFormat="1" applyFont="1" applyAlignment="1">
      <alignment horizontal="right" vertical="center" wrapText="1"/>
    </xf>
    <xf numFmtId="170" fontId="11" fillId="0" borderId="0" xfId="0" applyNumberFormat="1" applyFont="1" applyAlignment="1">
      <alignment horizontal="right" vertical="center" wrapText="1"/>
    </xf>
    <xf numFmtId="171" fontId="11" fillId="0" borderId="0" xfId="0" applyNumberFormat="1" applyFont="1" applyAlignment="1">
      <alignment horizontal="right" vertical="center" wrapText="1"/>
    </xf>
    <xf numFmtId="172" fontId="11" fillId="0" borderId="0" xfId="0" applyNumberFormat="1" applyFont="1" applyAlignment="1">
      <alignment horizontal="right" vertical="center" wrapText="1"/>
    </xf>
    <xf numFmtId="173" fontId="11" fillId="0" borderId="0" xfId="0" applyNumberFormat="1" applyFont="1" applyAlignment="1">
      <alignment horizontal="right" vertical="center" wrapText="1"/>
    </xf>
    <xf numFmtId="0" fontId="12" fillId="5" borderId="0" xfId="0" applyFont="1" applyFill="1" applyAlignment="1">
      <alignment horizontal="left" vertical="center" wrapText="1"/>
    </xf>
    <xf numFmtId="0" fontId="12" fillId="5" borderId="0" xfId="0" applyFont="1" applyFill="1" applyAlignment="1">
      <alignment horizontal="right" vertical="center" wrapText="1"/>
    </xf>
    <xf numFmtId="0" fontId="13" fillId="5" borderId="0" xfId="0" applyFont="1" applyFill="1" applyAlignment="1">
      <alignment horizontal="center" vertical="center" wrapText="1"/>
    </xf>
    <xf numFmtId="172" fontId="11" fillId="0" borderId="0" xfId="0" applyNumberFormat="1" applyFont="1" applyAlignment="1">
      <alignment horizontal="left" vertical="center" wrapText="1"/>
    </xf>
    <xf numFmtId="0" fontId="11" fillId="5" borderId="0" xfId="0" applyFont="1" applyFill="1" applyAlignment="1">
      <alignment horizontal="left" vertical="center" wrapText="1"/>
    </xf>
    <xf numFmtId="168" fontId="11" fillId="5" borderId="0" xfId="0" applyNumberFormat="1" applyFont="1" applyFill="1" applyAlignment="1">
      <alignment horizontal="left" vertical="center" wrapText="1"/>
    </xf>
    <xf numFmtId="172" fontId="11" fillId="5" borderId="0" xfId="0" applyNumberFormat="1" applyFont="1" applyFill="1" applyAlignment="1">
      <alignment horizontal="right" vertical="center" wrapText="1"/>
    </xf>
    <xf numFmtId="172" fontId="11" fillId="5" borderId="0" xfId="0" applyNumberFormat="1" applyFont="1" applyFill="1" applyAlignment="1">
      <alignment horizontal="left" vertical="center" wrapText="1"/>
    </xf>
    <xf numFmtId="0" fontId="0" fillId="5" borderId="0" xfId="0" applyFill="1"/>
    <xf numFmtId="171" fontId="11" fillId="5" borderId="0" xfId="0" applyNumberFormat="1" applyFont="1" applyFill="1" applyAlignment="1">
      <alignment horizontal="right" vertical="center" wrapText="1"/>
    </xf>
    <xf numFmtId="168" fontId="11" fillId="0" borderId="0" xfId="0" applyNumberFormat="1" applyFont="1" applyAlignment="1">
      <alignment horizontal="center" vertical="center" wrapText="1"/>
    </xf>
    <xf numFmtId="0" fontId="2" fillId="2" borderId="0" xfId="0" applyFont="1" applyFill="1"/>
    <xf numFmtId="0" fontId="2" fillId="3" borderId="0" xfId="0" applyFont="1" applyFill="1"/>
    <xf numFmtId="164" fontId="2" fillId="2" borderId="0" xfId="0" applyNumberFormat="1" applyFont="1" applyFill="1"/>
    <xf numFmtId="0" fontId="14" fillId="0" borderId="0" xfId="0" applyFont="1" applyAlignment="1">
      <alignment horizontal="center" vertical="center"/>
    </xf>
    <xf numFmtId="0" fontId="15" fillId="5" borderId="0" xfId="0" applyFont="1" applyFill="1" applyAlignment="1">
      <alignment horizontal="center" vertical="center" wrapText="1"/>
    </xf>
    <xf numFmtId="0" fontId="12" fillId="5" borderId="1" xfId="0" applyFont="1" applyFill="1" applyBorder="1" applyAlignment="1">
      <alignment horizontal="right" vertical="center" wrapText="1"/>
    </xf>
    <xf numFmtId="174" fontId="11" fillId="0" borderId="0" xfId="0" applyNumberFormat="1" applyFont="1" applyAlignment="1">
      <alignment horizontal="right" vertical="center" wrapText="1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164" fontId="0" fillId="2" borderId="0" xfId="0" applyNumberFormat="1" applyFill="1" applyAlignment="1">
      <alignment vertical="center"/>
    </xf>
    <xf numFmtId="0" fontId="0" fillId="4" borderId="0" xfId="0" applyFill="1" applyAlignment="1">
      <alignment vertical="center"/>
    </xf>
    <xf numFmtId="4" fontId="17" fillId="0" borderId="0" xfId="0" applyNumberFormat="1" applyFont="1"/>
    <xf numFmtId="0" fontId="17" fillId="0" borderId="0" xfId="0" applyFont="1"/>
    <xf numFmtId="172" fontId="17" fillId="0" borderId="0" xfId="0" applyNumberFormat="1" applyFont="1"/>
    <xf numFmtId="0" fontId="18" fillId="0" borderId="0" xfId="2">
      <alignment vertical="center"/>
    </xf>
    <xf numFmtId="10" fontId="18" fillId="0" borderId="0" xfId="2" applyNumberFormat="1">
      <alignment vertical="center"/>
    </xf>
    <xf numFmtId="172" fontId="18" fillId="0" borderId="0" xfId="2" applyNumberFormat="1">
      <alignment vertical="center"/>
    </xf>
    <xf numFmtId="0" fontId="19" fillId="0" borderId="0" xfId="2" applyFont="1">
      <alignment vertical="center"/>
    </xf>
    <xf numFmtId="172" fontId="11" fillId="0" borderId="0" xfId="2" applyNumberFormat="1" applyFont="1" applyAlignment="1">
      <alignment horizontal="right" vertical="center" wrapText="1"/>
    </xf>
    <xf numFmtId="171" fontId="11" fillId="0" borderId="0" xfId="2" applyNumberFormat="1" applyFont="1" applyAlignment="1">
      <alignment horizontal="right" vertical="center" wrapText="1"/>
    </xf>
    <xf numFmtId="0" fontId="11" fillId="0" borderId="0" xfId="2" applyFont="1" applyAlignment="1">
      <alignment horizontal="left" vertical="center" wrapText="1"/>
    </xf>
    <xf numFmtId="172" fontId="11" fillId="0" borderId="0" xfId="2" applyNumberFormat="1" applyFont="1" applyAlignment="1">
      <alignment horizontal="left" vertical="center" wrapText="1"/>
    </xf>
    <xf numFmtId="175" fontId="11" fillId="0" borderId="0" xfId="2" applyNumberFormat="1" applyFont="1" applyAlignment="1">
      <alignment horizontal="left" vertical="center" wrapText="1"/>
    </xf>
    <xf numFmtId="0" fontId="12" fillId="6" borderId="1" xfId="2" applyFont="1" applyFill="1" applyBorder="1" applyAlignment="1">
      <alignment horizontal="right" vertical="center" wrapText="1"/>
    </xf>
    <xf numFmtId="0" fontId="12" fillId="6" borderId="0" xfId="2" applyFont="1" applyFill="1" applyAlignment="1">
      <alignment horizontal="right" vertical="center" wrapText="1"/>
    </xf>
    <xf numFmtId="0" fontId="19" fillId="6" borderId="0" xfId="2" applyFont="1" applyFill="1" applyAlignment="1"/>
    <xf numFmtId="0" fontId="13" fillId="6" borderId="0" xfId="2" applyFont="1" applyFill="1" applyAlignment="1">
      <alignment horizontal="center" vertical="center" wrapText="1"/>
    </xf>
    <xf numFmtId="0" fontId="12" fillId="6" borderId="0" xfId="2" applyFont="1" applyFill="1" applyAlignment="1">
      <alignment horizontal="left" vertical="center" wrapText="1"/>
    </xf>
    <xf numFmtId="167" fontId="18" fillId="0" borderId="0" xfId="2" applyNumberFormat="1">
      <alignment vertical="center"/>
    </xf>
    <xf numFmtId="167" fontId="19" fillId="0" borderId="0" xfId="2" applyNumberFormat="1" applyFont="1">
      <alignment vertical="center"/>
    </xf>
    <xf numFmtId="167" fontId="19" fillId="0" borderId="0" xfId="2" applyNumberFormat="1" applyFont="1" applyAlignment="1"/>
    <xf numFmtId="0" fontId="9" fillId="0" borderId="0" xfId="2" applyFont="1" applyAlignment="1">
      <alignment horizontal="center" vertical="center"/>
    </xf>
    <xf numFmtId="172" fontId="20" fillId="6" borderId="0" xfId="2" applyNumberFormat="1" applyFont="1" applyFill="1" applyAlignment="1">
      <alignment horizontal="right" vertical="center" wrapText="1"/>
    </xf>
    <xf numFmtId="173" fontId="20" fillId="6" borderId="0" xfId="2" applyNumberFormat="1" applyFont="1" applyFill="1" applyAlignment="1">
      <alignment horizontal="right" vertical="center" wrapText="1"/>
    </xf>
    <xf numFmtId="171" fontId="20" fillId="6" borderId="0" xfId="2" applyNumberFormat="1" applyFont="1" applyFill="1" applyAlignment="1">
      <alignment horizontal="right" vertical="center" wrapText="1"/>
    </xf>
    <xf numFmtId="169" fontId="20" fillId="6" borderId="0" xfId="2" applyNumberFormat="1" applyFont="1" applyFill="1" applyAlignment="1">
      <alignment horizontal="right" vertical="center" wrapText="1"/>
    </xf>
    <xf numFmtId="175" fontId="20" fillId="6" borderId="0" xfId="2" applyNumberFormat="1" applyFont="1" applyFill="1" applyAlignment="1">
      <alignment horizontal="left" vertical="center" wrapText="1"/>
    </xf>
    <xf numFmtId="0" fontId="20" fillId="6" borderId="0" xfId="2" applyFont="1" applyFill="1" applyAlignment="1">
      <alignment horizontal="left" vertical="center" wrapText="1"/>
    </xf>
    <xf numFmtId="0" fontId="20" fillId="6" borderId="0" xfId="2" applyFont="1" applyFill="1" applyAlignment="1">
      <alignment horizontal="right" vertical="center" wrapText="1"/>
    </xf>
    <xf numFmtId="0" fontId="20" fillId="6" borderId="0" xfId="2" applyFont="1" applyFill="1" applyAlignment="1">
      <alignment horizontal="center" vertical="center" wrapText="1"/>
    </xf>
    <xf numFmtId="172" fontId="20" fillId="0" borderId="0" xfId="2" applyNumberFormat="1" applyFont="1" applyAlignment="1">
      <alignment horizontal="right" vertical="center" wrapText="1"/>
    </xf>
    <xf numFmtId="173" fontId="20" fillId="0" borderId="0" xfId="2" applyNumberFormat="1" applyFont="1" applyAlignment="1">
      <alignment horizontal="right" vertical="center" wrapText="1"/>
    </xf>
    <xf numFmtId="171" fontId="20" fillId="0" borderId="0" xfId="2" applyNumberFormat="1" applyFont="1" applyAlignment="1">
      <alignment horizontal="right" vertical="center" wrapText="1"/>
    </xf>
    <xf numFmtId="169" fontId="20" fillId="0" borderId="0" xfId="2" applyNumberFormat="1" applyFont="1" applyAlignment="1">
      <alignment horizontal="right" vertical="center" wrapText="1"/>
    </xf>
    <xf numFmtId="175" fontId="20" fillId="0" borderId="0" xfId="2" applyNumberFormat="1" applyFont="1" applyAlignment="1">
      <alignment horizontal="left" vertical="center" wrapText="1"/>
    </xf>
    <xf numFmtId="0" fontId="20" fillId="0" borderId="0" xfId="2" applyFont="1" applyAlignment="1">
      <alignment horizontal="left" vertical="center" wrapText="1"/>
    </xf>
    <xf numFmtId="0" fontId="20" fillId="0" borderId="0" xfId="2" applyFont="1" applyAlignment="1">
      <alignment horizontal="right" vertical="center" wrapText="1"/>
    </xf>
    <xf numFmtId="0" fontId="20" fillId="0" borderId="0" xfId="2" applyFont="1" applyAlignment="1">
      <alignment horizontal="center" vertical="center" wrapText="1"/>
    </xf>
    <xf numFmtId="0" fontId="21" fillId="6" borderId="0" xfId="2" applyFont="1" applyFill="1" applyAlignment="1">
      <alignment horizontal="right" vertical="center" wrapText="1"/>
    </xf>
    <xf numFmtId="0" fontId="21" fillId="6" borderId="0" xfId="2" applyFont="1" applyFill="1" applyAlignment="1">
      <alignment horizontal="left" vertical="center" wrapText="1"/>
    </xf>
    <xf numFmtId="169" fontId="18" fillId="0" borderId="0" xfId="2" applyNumberFormat="1">
      <alignment vertical="center"/>
    </xf>
    <xf numFmtId="0" fontId="2" fillId="0" borderId="0" xfId="2" applyFont="1" applyAlignment="1"/>
    <xf numFmtId="175" fontId="11" fillId="0" borderId="0" xfId="2" applyNumberFormat="1" applyFont="1" applyAlignment="1">
      <alignment horizontal="center" vertical="center" wrapText="1"/>
    </xf>
    <xf numFmtId="173" fontId="11" fillId="0" borderId="0" xfId="2" applyNumberFormat="1" applyFont="1" applyAlignment="1">
      <alignment horizontal="right" vertical="center" wrapText="1"/>
    </xf>
    <xf numFmtId="170" fontId="11" fillId="0" borderId="0" xfId="2" applyNumberFormat="1" applyFont="1" applyAlignment="1">
      <alignment horizontal="right" vertical="center" wrapText="1"/>
    </xf>
    <xf numFmtId="169" fontId="11" fillId="0" borderId="0" xfId="2" applyNumberFormat="1" applyFont="1" applyAlignment="1">
      <alignment horizontal="right" vertical="center" wrapText="1"/>
    </xf>
    <xf numFmtId="0" fontId="10" fillId="0" borderId="0" xfId="2" applyFont="1" applyAlignment="1">
      <alignment horizontal="center" vertical="center" wrapText="1"/>
    </xf>
    <xf numFmtId="0" fontId="10" fillId="0" borderId="0" xfId="2" applyFont="1" applyAlignment="1">
      <alignment horizontal="left" vertical="center" wrapText="1"/>
    </xf>
    <xf numFmtId="0" fontId="10" fillId="0" borderId="0" xfId="2" applyFont="1" applyAlignment="1">
      <alignment horizontal="right" vertical="center" wrapText="1"/>
    </xf>
    <xf numFmtId="0" fontId="1" fillId="0" borderId="0" xfId="2" applyFont="1">
      <alignment vertical="center"/>
    </xf>
    <xf numFmtId="0" fontId="22" fillId="0" borderId="0" xfId="2" applyFont="1" applyAlignment="1">
      <alignment horizontal="right"/>
    </xf>
    <xf numFmtId="0" fontId="23" fillId="0" borderId="0" xfId="2" applyFont="1">
      <alignment vertical="center"/>
    </xf>
    <xf numFmtId="0" fontId="5" fillId="0" borderId="0" xfId="2" applyFont="1" applyAlignment="1"/>
    <xf numFmtId="0" fontId="1" fillId="4" borderId="0" xfId="2" applyFont="1" applyFill="1">
      <alignment vertical="center"/>
    </xf>
    <xf numFmtId="15" fontId="5" fillId="0" borderId="0" xfId="2" applyNumberFormat="1" applyFont="1" applyAlignment="1"/>
    <xf numFmtId="2" fontId="1" fillId="0" borderId="0" xfId="2" applyNumberFormat="1" applyFont="1">
      <alignment vertical="center"/>
    </xf>
    <xf numFmtId="15" fontId="5" fillId="4" borderId="0" xfId="2" applyNumberFormat="1" applyFont="1" applyFill="1" applyAlignment="1"/>
    <xf numFmtId="165" fontId="18" fillId="0" borderId="0" xfId="2" applyNumberFormat="1">
      <alignment vertical="center"/>
    </xf>
    <xf numFmtId="165" fontId="1" fillId="0" borderId="0" xfId="2" applyNumberFormat="1" applyFont="1">
      <alignment vertical="center"/>
    </xf>
    <xf numFmtId="165" fontId="5" fillId="0" borderId="0" xfId="2" applyNumberFormat="1" applyFont="1" applyAlignment="1"/>
    <xf numFmtId="0" fontId="24" fillId="0" borderId="0" xfId="2" applyFont="1" applyAlignment="1"/>
    <xf numFmtId="0" fontId="25" fillId="2" borderId="0" xfId="2" applyFont="1" applyFill="1" applyAlignment="1"/>
    <xf numFmtId="0" fontId="22" fillId="2" borderId="0" xfId="2" applyFont="1" applyFill="1" applyAlignment="1"/>
    <xf numFmtId="0" fontId="22" fillId="4" borderId="0" xfId="2" applyFont="1" applyFill="1" applyAlignment="1"/>
    <xf numFmtId="164" fontId="22" fillId="2" borderId="0" xfId="2" applyNumberFormat="1" applyFont="1" applyFill="1" applyAlignment="1"/>
    <xf numFmtId="0" fontId="22" fillId="3" borderId="0" xfId="2" applyFont="1" applyFill="1" applyAlignment="1"/>
    <xf numFmtId="172" fontId="26" fillId="0" borderId="0" xfId="2" applyNumberFormat="1" applyFont="1">
      <alignment vertical="center"/>
    </xf>
    <xf numFmtId="14" fontId="18" fillId="0" borderId="0" xfId="2" applyNumberFormat="1">
      <alignment vertical="center"/>
    </xf>
    <xf numFmtId="0" fontId="27" fillId="0" borderId="0" xfId="2" applyFont="1" applyAlignment="1">
      <alignment horizontal="left" vertical="center" wrapText="1"/>
    </xf>
    <xf numFmtId="0" fontId="18" fillId="7" borderId="0" xfId="2" applyFill="1">
      <alignment vertical="center"/>
    </xf>
    <xf numFmtId="172" fontId="11" fillId="6" borderId="0" xfId="2" applyNumberFormat="1" applyFont="1" applyFill="1" applyAlignment="1">
      <alignment horizontal="right" vertical="center" wrapText="1"/>
    </xf>
    <xf numFmtId="171" fontId="11" fillId="6" borderId="0" xfId="2" applyNumberFormat="1" applyFont="1" applyFill="1" applyAlignment="1">
      <alignment horizontal="right" vertical="center" wrapText="1"/>
    </xf>
    <xf numFmtId="0" fontId="11" fillId="6" borderId="0" xfId="2" applyFont="1" applyFill="1" applyAlignment="1">
      <alignment horizontal="left" vertical="center" wrapText="1"/>
    </xf>
    <xf numFmtId="172" fontId="11" fillId="6" borderId="0" xfId="2" applyNumberFormat="1" applyFont="1" applyFill="1" applyAlignment="1">
      <alignment horizontal="left" vertical="center" wrapText="1"/>
    </xf>
    <xf numFmtId="175" fontId="11" fillId="6" borderId="0" xfId="2" applyNumberFormat="1" applyFont="1" applyFill="1" applyAlignment="1">
      <alignment horizontal="left" vertical="center" wrapText="1"/>
    </xf>
    <xf numFmtId="172" fontId="11" fillId="5" borderId="0" xfId="0" applyNumberFormat="1" applyFont="1" applyFill="1" applyAlignment="1">
      <alignment horizontal="right" vertical="center" wrapText="1"/>
    </xf>
    <xf numFmtId="172" fontId="11" fillId="5" borderId="0" xfId="0" applyNumberFormat="1" applyFont="1" applyFill="1" applyAlignment="1">
      <alignment horizontal="left" vertical="center" wrapText="1"/>
    </xf>
    <xf numFmtId="0" fontId="11" fillId="5" borderId="0" xfId="0" applyFont="1" applyFill="1" applyAlignment="1">
      <alignment horizontal="left" vertical="center" wrapText="1"/>
    </xf>
    <xf numFmtId="171" fontId="11" fillId="5" borderId="0" xfId="0" applyNumberFormat="1" applyFont="1" applyFill="1" applyAlignment="1">
      <alignment horizontal="right" vertical="center" wrapText="1"/>
    </xf>
    <xf numFmtId="0" fontId="12" fillId="5" borderId="0" xfId="0" applyFont="1" applyFill="1" applyAlignment="1">
      <alignment horizontal="right" vertical="center" wrapText="1"/>
    </xf>
    <xf numFmtId="0" fontId="16" fillId="0" borderId="0" xfId="0" applyFont="1" applyAlignment="1">
      <alignment horizontal="left" vertical="center" wrapText="1"/>
    </xf>
    <xf numFmtId="172" fontId="11" fillId="0" borderId="0" xfId="0" applyNumberFormat="1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172" fontId="11" fillId="0" borderId="0" xfId="0" applyNumberFormat="1" applyFont="1" applyAlignment="1">
      <alignment horizontal="right" vertical="center" wrapText="1"/>
    </xf>
    <xf numFmtId="171" fontId="11" fillId="0" borderId="0" xfId="0" applyNumberFormat="1" applyFont="1" applyAlignment="1">
      <alignment horizontal="right" vertical="center" wrapText="1"/>
    </xf>
    <xf numFmtId="0" fontId="12" fillId="5" borderId="0" xfId="0" applyFont="1" applyFill="1" applyAlignment="1">
      <alignment horizontal="left" vertical="center" wrapText="1"/>
    </xf>
    <xf numFmtId="0" fontId="12" fillId="6" borderId="0" xfId="2" applyFont="1" applyFill="1" applyAlignment="1">
      <alignment horizontal="right" vertical="center" wrapText="1"/>
    </xf>
    <xf numFmtId="0" fontId="16" fillId="0" borderId="0" xfId="2" applyFont="1" applyAlignment="1">
      <alignment horizontal="left" vertical="center" wrapText="1"/>
    </xf>
    <xf numFmtId="172" fontId="11" fillId="0" borderId="0" xfId="2" applyNumberFormat="1" applyFont="1" applyAlignment="1">
      <alignment horizontal="left" vertical="center" wrapText="1"/>
    </xf>
    <xf numFmtId="0" fontId="11" fillId="0" borderId="0" xfId="2" applyFont="1" applyAlignment="1">
      <alignment horizontal="left" vertical="center" wrapText="1"/>
    </xf>
    <xf numFmtId="172" fontId="11" fillId="0" borderId="0" xfId="2" applyNumberFormat="1" applyFont="1" applyAlignment="1">
      <alignment horizontal="right" vertical="center" wrapText="1"/>
    </xf>
    <xf numFmtId="171" fontId="11" fillId="0" borderId="0" xfId="2" applyNumberFormat="1" applyFont="1" applyAlignment="1">
      <alignment horizontal="right" vertical="center" wrapText="1"/>
    </xf>
    <xf numFmtId="0" fontId="10" fillId="0" borderId="0" xfId="2" applyFont="1" applyAlignment="1">
      <alignment horizontal="left" vertical="center" wrapText="1"/>
    </xf>
    <xf numFmtId="0" fontId="12" fillId="6" borderId="0" xfId="2" applyFont="1" applyFill="1" applyAlignment="1">
      <alignment horizontal="left" vertical="center" wrapText="1"/>
    </xf>
    <xf numFmtId="172" fontId="11" fillId="6" borderId="0" xfId="2" applyNumberFormat="1" applyFont="1" applyFill="1" applyAlignment="1">
      <alignment horizontal="left" vertical="center" wrapText="1"/>
    </xf>
    <xf numFmtId="0" fontId="11" fillId="6" borderId="0" xfId="2" applyFont="1" applyFill="1" applyAlignment="1">
      <alignment horizontal="left" vertical="center" wrapText="1"/>
    </xf>
    <xf numFmtId="172" fontId="11" fillId="6" borderId="0" xfId="2" applyNumberFormat="1" applyFont="1" applyFill="1" applyAlignment="1">
      <alignment horizontal="right" vertical="center" wrapText="1"/>
    </xf>
    <xf numFmtId="171" fontId="11" fillId="6" borderId="0" xfId="2" applyNumberFormat="1" applyFont="1" applyFill="1" applyAlignment="1">
      <alignment horizontal="right" vertical="center" wrapText="1"/>
    </xf>
    <xf numFmtId="4" fontId="18" fillId="0" borderId="0" xfId="2" applyNumberFormat="1">
      <alignment vertical="center"/>
    </xf>
  </cellXfs>
  <cellStyles count="3">
    <cellStyle name="Normal" xfId="0" builtinId="0"/>
    <cellStyle name="Normal 2" xfId="1" xr:uid="{7C775E96-D3C5-4B8E-A615-C23BDECF2746}"/>
    <cellStyle name="Normal 3" xfId="2" xr:uid="{A12EDC8D-87CE-40F1-9517-2764052622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12" Type="http://schemas.openxmlformats.org/officeDocument/2006/relationships/image" Target="../media/image16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11" Type="http://schemas.openxmlformats.org/officeDocument/2006/relationships/image" Target="../media/image15.png"/><Relationship Id="rId5" Type="http://schemas.openxmlformats.org/officeDocument/2006/relationships/image" Target="../media/image9.png"/><Relationship Id="rId10" Type="http://schemas.openxmlformats.org/officeDocument/2006/relationships/image" Target="../media/image14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394131</xdr:colOff>
      <xdr:row>22</xdr:row>
      <xdr:rowOff>158957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63CC0A-69ED-4D2A-F2DE-4EC1222C1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150"/>
          <a:ext cx="8382431" cy="40261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12</xdr:col>
      <xdr:colOff>133799</xdr:colOff>
      <xdr:row>65</xdr:row>
      <xdr:rowOff>108060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722005-9633-EB82-5240-303E57D26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775950"/>
          <a:ext cx="8744399" cy="21337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12</xdr:col>
      <xdr:colOff>273507</xdr:colOff>
      <xdr:row>109</xdr:row>
      <xdr:rowOff>31818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71F5344-1180-7ED1-EA05-D8DA2A2E2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900900"/>
          <a:ext cx="8884107" cy="13208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95250</xdr:rowOff>
    </xdr:from>
    <xdr:to>
      <xdr:col>8</xdr:col>
      <xdr:colOff>336870</xdr:colOff>
      <xdr:row>99</xdr:row>
      <xdr:rowOff>82691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8B9C7B0-137D-3E3F-489B-1704BA664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6681450"/>
          <a:ext cx="6229670" cy="27496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</xdr:colOff>
      <xdr:row>5</xdr:row>
      <xdr:rowOff>0</xdr:rowOff>
    </xdr:from>
    <xdr:ext cx="10234930" cy="841375"/>
    <xdr:pic>
      <xdr:nvPicPr>
        <xdr:cNvPr id="2" name="Picture 1">
          <a:extLst>
            <a:ext uri="{FF2B5EF4-FFF2-40B4-BE49-F238E27FC236}">
              <a16:creationId xmlns:a16="http://schemas.microsoft.com/office/drawing/2014/main" id="{DD6602F4-BD05-40D1-8780-9C05B10D5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35" y="920750"/>
          <a:ext cx="10234930" cy="84137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635</xdr:colOff>
      <xdr:row>11</xdr:row>
      <xdr:rowOff>0</xdr:rowOff>
    </xdr:from>
    <xdr:ext cx="10234930" cy="1099820"/>
    <xdr:pic>
      <xdr:nvPicPr>
        <xdr:cNvPr id="3" name="Picture 2">
          <a:extLst>
            <a:ext uri="{FF2B5EF4-FFF2-40B4-BE49-F238E27FC236}">
              <a16:creationId xmlns:a16="http://schemas.microsoft.com/office/drawing/2014/main" id="{63CEA1AC-F6BE-4179-A192-B292FFE1E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35" y="2025650"/>
          <a:ext cx="10234930" cy="109982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635</xdr:colOff>
      <xdr:row>18</xdr:row>
      <xdr:rowOff>0</xdr:rowOff>
    </xdr:from>
    <xdr:ext cx="10234930" cy="3589655"/>
    <xdr:pic>
      <xdr:nvPicPr>
        <xdr:cNvPr id="4" name="Picture 3">
          <a:extLst>
            <a:ext uri="{FF2B5EF4-FFF2-40B4-BE49-F238E27FC236}">
              <a16:creationId xmlns:a16="http://schemas.microsoft.com/office/drawing/2014/main" id="{CE8AD83B-1C71-4BD1-B9F6-3391E7B2F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35" y="3314700"/>
          <a:ext cx="10234930" cy="358965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635</xdr:colOff>
      <xdr:row>39</xdr:row>
      <xdr:rowOff>0</xdr:rowOff>
    </xdr:from>
    <xdr:ext cx="10234930" cy="909320"/>
    <xdr:pic>
      <xdr:nvPicPr>
        <xdr:cNvPr id="5" name="Picture 4">
          <a:extLst>
            <a:ext uri="{FF2B5EF4-FFF2-40B4-BE49-F238E27FC236}">
              <a16:creationId xmlns:a16="http://schemas.microsoft.com/office/drawing/2014/main" id="{159D39A9-5ED6-4F8F-99AF-9202188CE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35" y="7181850"/>
          <a:ext cx="10234930" cy="90932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635</xdr:colOff>
      <xdr:row>79</xdr:row>
      <xdr:rowOff>0</xdr:rowOff>
    </xdr:from>
    <xdr:ext cx="9273540" cy="782320"/>
    <xdr:pic>
      <xdr:nvPicPr>
        <xdr:cNvPr id="6" name="Picture 5">
          <a:extLst>
            <a:ext uri="{FF2B5EF4-FFF2-40B4-BE49-F238E27FC236}">
              <a16:creationId xmlns:a16="http://schemas.microsoft.com/office/drawing/2014/main" id="{6FCE8AB0-4A5B-47FD-9A7B-67BE85C85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35" y="14547850"/>
          <a:ext cx="9273540" cy="78232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635</xdr:colOff>
      <xdr:row>84</xdr:row>
      <xdr:rowOff>22860</xdr:rowOff>
    </xdr:from>
    <xdr:ext cx="10234930" cy="1189355"/>
    <xdr:pic>
      <xdr:nvPicPr>
        <xdr:cNvPr id="7" name="Picture 6">
          <a:extLst>
            <a:ext uri="{FF2B5EF4-FFF2-40B4-BE49-F238E27FC236}">
              <a16:creationId xmlns:a16="http://schemas.microsoft.com/office/drawing/2014/main" id="{C4638407-F39C-4C13-AF3D-BF09DA292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35" y="15491460"/>
          <a:ext cx="10234930" cy="118935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635</xdr:colOff>
      <xdr:row>118</xdr:row>
      <xdr:rowOff>0</xdr:rowOff>
    </xdr:from>
    <xdr:ext cx="10234930" cy="944880"/>
    <xdr:pic>
      <xdr:nvPicPr>
        <xdr:cNvPr id="8" name="Picture 7">
          <a:extLst>
            <a:ext uri="{FF2B5EF4-FFF2-40B4-BE49-F238E27FC236}">
              <a16:creationId xmlns:a16="http://schemas.microsoft.com/office/drawing/2014/main" id="{0E71B8E8-BF8A-4006-8FAC-3D09B32D1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35" y="21729700"/>
          <a:ext cx="10234930" cy="94488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635</xdr:colOff>
      <xdr:row>124</xdr:row>
      <xdr:rowOff>0</xdr:rowOff>
    </xdr:from>
    <xdr:ext cx="10234930" cy="1195070"/>
    <xdr:pic>
      <xdr:nvPicPr>
        <xdr:cNvPr id="9" name="Picture 8">
          <a:extLst>
            <a:ext uri="{FF2B5EF4-FFF2-40B4-BE49-F238E27FC236}">
              <a16:creationId xmlns:a16="http://schemas.microsoft.com/office/drawing/2014/main" id="{2DE3A0BA-E386-476D-8DCE-E5D93DD84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35" y="22834600"/>
          <a:ext cx="10234930" cy="119507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635</xdr:colOff>
      <xdr:row>154</xdr:row>
      <xdr:rowOff>0</xdr:rowOff>
    </xdr:from>
    <xdr:ext cx="10234930" cy="870585"/>
    <xdr:pic>
      <xdr:nvPicPr>
        <xdr:cNvPr id="10" name="Picture 9">
          <a:extLst>
            <a:ext uri="{FF2B5EF4-FFF2-40B4-BE49-F238E27FC236}">
              <a16:creationId xmlns:a16="http://schemas.microsoft.com/office/drawing/2014/main" id="{0FE160F2-903F-4A2C-B679-FE461238C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35" y="28359100"/>
          <a:ext cx="10234930" cy="87058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635</xdr:colOff>
      <xdr:row>160</xdr:row>
      <xdr:rowOff>0</xdr:rowOff>
    </xdr:from>
    <xdr:ext cx="10234930" cy="1168400"/>
    <xdr:pic>
      <xdr:nvPicPr>
        <xdr:cNvPr id="11" name="Picture 10">
          <a:extLst>
            <a:ext uri="{FF2B5EF4-FFF2-40B4-BE49-F238E27FC236}">
              <a16:creationId xmlns:a16="http://schemas.microsoft.com/office/drawing/2014/main" id="{B5A33299-C442-4CA6-9823-FB9F32C5C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35" y="29464000"/>
          <a:ext cx="10234930" cy="11684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635</xdr:colOff>
      <xdr:row>168</xdr:row>
      <xdr:rowOff>0</xdr:rowOff>
    </xdr:from>
    <xdr:ext cx="10234930" cy="2946400"/>
    <xdr:pic>
      <xdr:nvPicPr>
        <xdr:cNvPr id="12" name="Picture 11">
          <a:extLst>
            <a:ext uri="{FF2B5EF4-FFF2-40B4-BE49-F238E27FC236}">
              <a16:creationId xmlns:a16="http://schemas.microsoft.com/office/drawing/2014/main" id="{58E709A3-1B6B-48F6-8933-A8F1574F7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35" y="30937200"/>
          <a:ext cx="10234930" cy="294640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635</xdr:colOff>
      <xdr:row>185</xdr:row>
      <xdr:rowOff>0</xdr:rowOff>
    </xdr:from>
    <xdr:ext cx="10234930" cy="878840"/>
    <xdr:pic>
      <xdr:nvPicPr>
        <xdr:cNvPr id="13" name="Picture 12">
          <a:extLst>
            <a:ext uri="{FF2B5EF4-FFF2-40B4-BE49-F238E27FC236}">
              <a16:creationId xmlns:a16="http://schemas.microsoft.com/office/drawing/2014/main" id="{2116EABA-9A14-4251-B465-DC6C90B80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35" y="34067750"/>
          <a:ext cx="10234930" cy="878840"/>
        </a:xfrm>
        <a:prstGeom prst="rect">
          <a:avLst/>
        </a:prstGeom>
        <a:noFill/>
        <a:ln w="9525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9B2EB-CE0A-4E81-BA57-EBF925094938}">
  <dimension ref="A1:BU143"/>
  <sheetViews>
    <sheetView tabSelected="1" topLeftCell="J125" workbookViewId="0">
      <selection activeCell="H121" sqref="H121"/>
    </sheetView>
  </sheetViews>
  <sheetFormatPr defaultRowHeight="14.5"/>
  <cols>
    <col min="5" max="5" width="21.6328125" bestFit="1" customWidth="1"/>
    <col min="6" max="6" width="10.36328125" customWidth="1"/>
    <col min="11" max="11" width="12.54296875" customWidth="1"/>
    <col min="12" max="12" width="8.90625" bestFit="1" customWidth="1"/>
    <col min="14" max="14" width="11.453125" customWidth="1"/>
    <col min="15" max="15" width="9" bestFit="1" customWidth="1"/>
    <col min="16" max="16" width="12.1796875" customWidth="1"/>
    <col min="17" max="17" width="11.453125" customWidth="1"/>
    <col min="19" max="19" width="17.08984375" bestFit="1" customWidth="1"/>
    <col min="24" max="24" width="11.6328125" customWidth="1"/>
    <col min="25" max="25" width="11.08984375" bestFit="1" customWidth="1"/>
    <col min="29" max="29" width="17.7265625" bestFit="1" customWidth="1"/>
    <col min="30" max="30" width="11" customWidth="1"/>
    <col min="31" max="31" width="9.36328125" bestFit="1" customWidth="1"/>
    <col min="32" max="32" width="9.453125" customWidth="1"/>
    <col min="33" max="33" width="10.81640625" customWidth="1"/>
    <col min="36" max="36" width="11.1796875" customWidth="1"/>
    <col min="38" max="38" width="11.81640625" customWidth="1"/>
  </cols>
  <sheetData>
    <row r="1" spans="1:1">
      <c r="A1" s="11" t="s">
        <v>0</v>
      </c>
    </row>
    <row r="26" spans="1:73">
      <c r="A26" s="11" t="s">
        <v>1</v>
      </c>
    </row>
    <row r="27" spans="1:73" s="36" customFormat="1" ht="12.5">
      <c r="A27" s="36" t="s">
        <v>2</v>
      </c>
      <c r="B27" s="36" t="s">
        <v>3</v>
      </c>
      <c r="C27" s="36" t="s">
        <v>4</v>
      </c>
      <c r="D27" s="36" t="s">
        <v>5</v>
      </c>
      <c r="E27" s="37" t="s">
        <v>6</v>
      </c>
      <c r="F27" s="36" t="s">
        <v>7</v>
      </c>
      <c r="G27" s="36" t="s">
        <v>8</v>
      </c>
      <c r="H27" s="36" t="s">
        <v>9</v>
      </c>
      <c r="I27" s="36" t="s">
        <v>10</v>
      </c>
      <c r="J27" s="36" t="s">
        <v>11</v>
      </c>
      <c r="K27" s="37" t="s">
        <v>12</v>
      </c>
      <c r="L27" s="36" t="s">
        <v>13</v>
      </c>
      <c r="M27" s="36" t="s">
        <v>14</v>
      </c>
      <c r="N27" s="36" t="s">
        <v>15</v>
      </c>
      <c r="O27" s="37" t="s">
        <v>16</v>
      </c>
      <c r="P27" s="37" t="s">
        <v>17</v>
      </c>
      <c r="Q27" s="37" t="s">
        <v>18</v>
      </c>
      <c r="R27" s="36" t="s">
        <v>19</v>
      </c>
      <c r="S27" s="37" t="s">
        <v>20</v>
      </c>
      <c r="T27" s="36" t="s">
        <v>21</v>
      </c>
      <c r="U27" s="36" t="s">
        <v>22</v>
      </c>
      <c r="V27" s="36" t="s">
        <v>23</v>
      </c>
      <c r="W27" s="36" t="s">
        <v>24</v>
      </c>
      <c r="X27" s="36" t="s">
        <v>25</v>
      </c>
      <c r="Y27" s="36" t="s">
        <v>26</v>
      </c>
      <c r="Z27" s="36" t="s">
        <v>27</v>
      </c>
      <c r="AA27" s="36" t="s">
        <v>28</v>
      </c>
      <c r="AB27" s="36" t="s">
        <v>29</v>
      </c>
      <c r="AC27" s="37" t="s">
        <v>30</v>
      </c>
      <c r="AD27" s="37" t="s">
        <v>31</v>
      </c>
      <c r="AE27" s="37" t="s">
        <v>32</v>
      </c>
      <c r="AF27" s="37" t="s">
        <v>33</v>
      </c>
      <c r="AG27" s="37" t="s">
        <v>34</v>
      </c>
      <c r="AH27" s="36" t="s">
        <v>35</v>
      </c>
      <c r="AI27" s="36" t="s">
        <v>36</v>
      </c>
      <c r="AJ27" s="36" t="s">
        <v>37</v>
      </c>
      <c r="AK27" s="36" t="s">
        <v>38</v>
      </c>
      <c r="AL27" s="36" t="s">
        <v>39</v>
      </c>
      <c r="AM27" s="38" t="s">
        <v>40</v>
      </c>
      <c r="AN27" s="36" t="s">
        <v>41</v>
      </c>
      <c r="AO27" s="36" t="s">
        <v>42</v>
      </c>
      <c r="AP27" s="36" t="s">
        <v>43</v>
      </c>
      <c r="AQ27" s="36" t="s">
        <v>44</v>
      </c>
      <c r="AR27" s="36" t="s">
        <v>45</v>
      </c>
      <c r="AS27" s="36" t="s">
        <v>46</v>
      </c>
      <c r="AT27" s="37" t="s">
        <v>47</v>
      </c>
      <c r="AU27" s="36" t="s">
        <v>48</v>
      </c>
      <c r="AV27" s="36" t="s">
        <v>49</v>
      </c>
      <c r="AW27" s="36" t="s">
        <v>50</v>
      </c>
      <c r="AX27" s="36" t="s">
        <v>51</v>
      </c>
      <c r="AY27" s="36" t="s">
        <v>52</v>
      </c>
      <c r="AZ27" s="37" t="s">
        <v>53</v>
      </c>
      <c r="BA27" s="36" t="s">
        <v>54</v>
      </c>
      <c r="BB27" s="36" t="s">
        <v>55</v>
      </c>
      <c r="BC27" s="36" t="s">
        <v>56</v>
      </c>
      <c r="BD27" s="36" t="s">
        <v>57</v>
      </c>
      <c r="BE27" s="36" t="s">
        <v>58</v>
      </c>
      <c r="BF27" s="36" t="s">
        <v>59</v>
      </c>
      <c r="BG27" s="36" t="s">
        <v>60</v>
      </c>
      <c r="BH27" s="36" t="s">
        <v>61</v>
      </c>
      <c r="BI27" s="36" t="s">
        <v>62</v>
      </c>
      <c r="BJ27" s="36" t="s">
        <v>63</v>
      </c>
      <c r="BK27" s="36" t="s">
        <v>64</v>
      </c>
      <c r="BL27" s="36" t="s">
        <v>65</v>
      </c>
      <c r="BM27" s="36" t="s">
        <v>66</v>
      </c>
      <c r="BN27" s="36" t="s">
        <v>67</v>
      </c>
      <c r="BO27" s="36" t="s">
        <v>68</v>
      </c>
      <c r="BP27" s="36" t="s">
        <v>69</v>
      </c>
      <c r="BQ27" s="36" t="s">
        <v>70</v>
      </c>
      <c r="BR27" s="36" t="s">
        <v>71</v>
      </c>
      <c r="BS27" s="36" t="s">
        <v>72</v>
      </c>
      <c r="BT27" s="36" t="s">
        <v>73</v>
      </c>
      <c r="BU27" s="36" t="s">
        <v>74</v>
      </c>
    </row>
    <row r="28" spans="1:73" s="2" customFormat="1" ht="15.5">
      <c r="A28" s="1" t="s">
        <v>75</v>
      </c>
      <c r="B28" s="2" t="s">
        <v>76</v>
      </c>
      <c r="C28" s="2" t="s">
        <v>77</v>
      </c>
      <c r="D28" s="2">
        <v>55</v>
      </c>
      <c r="E28" s="3" t="s">
        <v>215</v>
      </c>
      <c r="G28" s="2" t="s">
        <v>78</v>
      </c>
      <c r="H28" s="2" t="s">
        <v>79</v>
      </c>
      <c r="I28" s="2" t="s">
        <v>80</v>
      </c>
      <c r="J28" s="2" t="s">
        <v>81</v>
      </c>
      <c r="K28" s="4"/>
      <c r="L28" s="4"/>
      <c r="M28" s="5"/>
      <c r="N28" s="6"/>
      <c r="O28" s="4">
        <v>678</v>
      </c>
      <c r="P28" s="4">
        <v>893</v>
      </c>
      <c r="Q28" s="7"/>
      <c r="R28" s="1">
        <f>P28*O28</f>
        <v>605454</v>
      </c>
      <c r="S28" s="6">
        <v>7.5639999999999999E-2</v>
      </c>
      <c r="T28" s="1">
        <f>R28*S28</f>
        <v>45796.540560000001</v>
      </c>
      <c r="U28" s="8">
        <v>0</v>
      </c>
      <c r="V28" s="8">
        <v>0</v>
      </c>
      <c r="W28" s="1">
        <f>R28+AT28</f>
        <v>605454</v>
      </c>
      <c r="X28" s="1">
        <f>W28*S28</f>
        <v>45796.540560000001</v>
      </c>
      <c r="Y28" s="2" t="s">
        <v>77</v>
      </c>
      <c r="Z28" s="2" t="s">
        <v>82</v>
      </c>
      <c r="AA28" s="2" t="s">
        <v>83</v>
      </c>
      <c r="AB28" s="2" t="s">
        <v>84</v>
      </c>
      <c r="AC28" s="4" t="s">
        <v>85</v>
      </c>
      <c r="AD28" s="9">
        <v>45626</v>
      </c>
      <c r="AE28" s="9">
        <v>45626</v>
      </c>
      <c r="AF28" s="9">
        <v>45627</v>
      </c>
      <c r="AG28" s="10">
        <v>45652</v>
      </c>
      <c r="AH28" s="2" t="s">
        <v>86</v>
      </c>
      <c r="AI28" s="2" t="s">
        <v>87</v>
      </c>
      <c r="AJ28" s="2">
        <v>7.5639999999999999E-2</v>
      </c>
      <c r="AK28" s="1"/>
      <c r="AM28" s="9"/>
      <c r="AN28" s="8">
        <v>0</v>
      </c>
      <c r="AO28" s="8">
        <v>0</v>
      </c>
      <c r="AR28" s="2" t="s">
        <v>88</v>
      </c>
      <c r="AS28" s="2" t="s">
        <v>78</v>
      </c>
      <c r="AT28" s="5"/>
      <c r="AU28" s="5"/>
      <c r="AV28" s="8">
        <v>5.9450000000000003E-2</v>
      </c>
      <c r="AW28" s="8">
        <v>0</v>
      </c>
      <c r="AX28" s="2" t="s">
        <v>89</v>
      </c>
      <c r="AY28" s="2" t="s">
        <v>78</v>
      </c>
      <c r="AZ28" s="4"/>
      <c r="BA28" s="4"/>
      <c r="BB28" s="8">
        <v>5.9450000000000003E-2</v>
      </c>
      <c r="BC28" s="2">
        <v>0</v>
      </c>
      <c r="BF28" s="8">
        <v>0</v>
      </c>
      <c r="BG28" s="8">
        <v>0</v>
      </c>
      <c r="BH28" s="8">
        <v>0</v>
      </c>
      <c r="BI28" s="8">
        <v>0</v>
      </c>
      <c r="BL28" s="8">
        <v>0</v>
      </c>
      <c r="BM28" s="8">
        <v>0</v>
      </c>
      <c r="BN28" s="8">
        <v>0</v>
      </c>
      <c r="BO28" s="8">
        <v>0</v>
      </c>
      <c r="BR28" s="8">
        <v>0</v>
      </c>
      <c r="BS28" s="8">
        <v>0</v>
      </c>
      <c r="BT28" s="8">
        <v>0</v>
      </c>
      <c r="BU28" s="8">
        <v>0</v>
      </c>
    </row>
    <row r="29" spans="1:73" s="2" customFormat="1" ht="15.5">
      <c r="A29" s="1" t="s">
        <v>75</v>
      </c>
      <c r="B29" s="2" t="s">
        <v>76</v>
      </c>
      <c r="C29" s="2" t="s">
        <v>77</v>
      </c>
      <c r="D29" s="2">
        <v>55</v>
      </c>
      <c r="E29" s="3" t="s">
        <v>215</v>
      </c>
      <c r="G29" s="2" t="s">
        <v>78</v>
      </c>
      <c r="H29" s="2" t="s">
        <v>79</v>
      </c>
      <c r="I29" s="2" t="s">
        <v>80</v>
      </c>
      <c r="J29" s="2" t="s">
        <v>81</v>
      </c>
      <c r="K29" s="4"/>
      <c r="L29" s="4"/>
      <c r="M29" s="5"/>
      <c r="N29" s="6"/>
      <c r="O29" s="4">
        <v>4321</v>
      </c>
      <c r="P29" s="4">
        <v>789.33</v>
      </c>
      <c r="Q29" s="7"/>
      <c r="R29" s="1">
        <f>P29*O29</f>
        <v>3410694.93</v>
      </c>
      <c r="S29" s="6">
        <v>7.5639999999999999E-2</v>
      </c>
      <c r="T29" s="1">
        <f>R29*S29</f>
        <v>257984.96450520001</v>
      </c>
      <c r="U29" s="8">
        <v>0</v>
      </c>
      <c r="V29" s="8">
        <v>0</v>
      </c>
      <c r="W29" s="1">
        <f>R29+AT29</f>
        <v>3410694.93</v>
      </c>
      <c r="X29" s="1">
        <f>W29*S29</f>
        <v>257984.96450520001</v>
      </c>
      <c r="Y29" s="2" t="s">
        <v>77</v>
      </c>
      <c r="Z29" s="2" t="s">
        <v>82</v>
      </c>
      <c r="AA29" s="2" t="s">
        <v>83</v>
      </c>
      <c r="AB29" s="2" t="s">
        <v>84</v>
      </c>
      <c r="AC29" s="4" t="s">
        <v>85</v>
      </c>
      <c r="AD29" s="9">
        <v>45626</v>
      </c>
      <c r="AE29" s="9">
        <v>45626</v>
      </c>
      <c r="AF29" s="9">
        <v>45626</v>
      </c>
      <c r="AG29" s="10">
        <v>45652</v>
      </c>
      <c r="AH29" s="2" t="s">
        <v>86</v>
      </c>
      <c r="AI29" s="2" t="s">
        <v>87</v>
      </c>
      <c r="AJ29" s="2">
        <v>7.5639999999999999E-2</v>
      </c>
      <c r="AK29" s="1"/>
      <c r="AM29" s="9"/>
      <c r="AN29" s="8">
        <v>0</v>
      </c>
      <c r="AO29" s="8">
        <v>0</v>
      </c>
      <c r="AR29" s="2" t="s">
        <v>88</v>
      </c>
      <c r="AS29" s="2" t="s">
        <v>78</v>
      </c>
      <c r="AT29" s="5"/>
      <c r="AU29" s="5"/>
      <c r="AV29" s="8">
        <v>5.9450000000000003E-2</v>
      </c>
      <c r="AW29" s="8">
        <v>0</v>
      </c>
      <c r="AX29" s="2" t="s">
        <v>89</v>
      </c>
      <c r="AY29" s="2" t="s">
        <v>78</v>
      </c>
      <c r="AZ29" s="4"/>
      <c r="BA29" s="4"/>
      <c r="BB29" s="8">
        <v>5.9450000000000003E-2</v>
      </c>
      <c r="BC29" s="2">
        <v>0</v>
      </c>
      <c r="BF29" s="8">
        <v>0</v>
      </c>
      <c r="BG29" s="8">
        <v>0</v>
      </c>
      <c r="BH29" s="8">
        <v>0</v>
      </c>
      <c r="BI29" s="8">
        <v>0</v>
      </c>
      <c r="BL29" s="8">
        <v>0</v>
      </c>
      <c r="BM29" s="8">
        <v>0</v>
      </c>
      <c r="BN29" s="8">
        <v>0</v>
      </c>
      <c r="BO29" s="8">
        <v>0</v>
      </c>
      <c r="BR29" s="8">
        <v>0</v>
      </c>
      <c r="BS29" s="8">
        <v>0</v>
      </c>
      <c r="BT29" s="8">
        <v>0</v>
      </c>
      <c r="BU29" s="8">
        <v>0</v>
      </c>
    </row>
    <row r="33" spans="1:46">
      <c r="A33" s="11" t="s">
        <v>90</v>
      </c>
    </row>
    <row r="34" spans="1:46">
      <c r="A34" s="39" t="s">
        <v>91</v>
      </c>
      <c r="B34" s="39" t="s">
        <v>92</v>
      </c>
      <c r="C34" s="39" t="s">
        <v>93</v>
      </c>
      <c r="D34" s="39" t="s">
        <v>94</v>
      </c>
      <c r="E34" s="39" t="s">
        <v>95</v>
      </c>
      <c r="F34" s="39" t="s">
        <v>96</v>
      </c>
      <c r="G34" s="39" t="s">
        <v>97</v>
      </c>
      <c r="H34" s="39" t="s">
        <v>98</v>
      </c>
      <c r="I34" s="39" t="s">
        <v>99</v>
      </c>
      <c r="J34" s="39" t="s">
        <v>100</v>
      </c>
      <c r="K34" s="39" t="s">
        <v>101</v>
      </c>
      <c r="L34" s="39" t="s">
        <v>102</v>
      </c>
      <c r="M34" s="39" t="s">
        <v>103</v>
      </c>
      <c r="N34" s="39" t="s">
        <v>104</v>
      </c>
      <c r="O34" s="39" t="s">
        <v>105</v>
      </c>
      <c r="P34" s="39" t="s">
        <v>106</v>
      </c>
      <c r="Q34" s="39" t="s">
        <v>107</v>
      </c>
      <c r="R34" s="39" t="s">
        <v>108</v>
      </c>
      <c r="S34" s="39" t="s">
        <v>109</v>
      </c>
      <c r="T34" s="39" t="s">
        <v>110</v>
      </c>
      <c r="U34" s="39" t="s">
        <v>0</v>
      </c>
      <c r="V34" s="39" t="s">
        <v>111</v>
      </c>
      <c r="W34" s="39" t="s">
        <v>112</v>
      </c>
      <c r="X34" s="39" t="s">
        <v>113</v>
      </c>
      <c r="Y34" s="39" t="s">
        <v>114</v>
      </c>
      <c r="Z34" s="39" t="s">
        <v>115</v>
      </c>
      <c r="AA34" s="39" t="s">
        <v>116</v>
      </c>
      <c r="AB34" s="39" t="s">
        <v>117</v>
      </c>
      <c r="AC34" s="39" t="s">
        <v>118</v>
      </c>
      <c r="AD34" s="39" t="s">
        <v>119</v>
      </c>
    </row>
    <row r="35" spans="1:46">
      <c r="A35" t="s">
        <v>75</v>
      </c>
      <c r="B35" t="s">
        <v>120</v>
      </c>
      <c r="C35" t="s">
        <v>216</v>
      </c>
      <c r="D35" t="s">
        <v>216</v>
      </c>
      <c r="E35" t="s">
        <v>217</v>
      </c>
      <c r="F35" t="s">
        <v>218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124</v>
      </c>
      <c r="N35" t="s">
        <v>78</v>
      </c>
      <c r="O35" t="s">
        <v>127</v>
      </c>
      <c r="P35" s="13">
        <v>3410694.93</v>
      </c>
      <c r="Q35" s="13">
        <v>257984.96</v>
      </c>
      <c r="R35">
        <v>7.5639999999999999E-2</v>
      </c>
      <c r="S35" t="s">
        <v>128</v>
      </c>
      <c r="T35" t="s">
        <v>120</v>
      </c>
      <c r="U35" t="s">
        <v>215</v>
      </c>
      <c r="V35" t="s">
        <v>80</v>
      </c>
      <c r="W35" t="s">
        <v>85</v>
      </c>
      <c r="X35" t="s">
        <v>77</v>
      </c>
      <c r="Y35" t="s">
        <v>120</v>
      </c>
      <c r="Z35" t="s">
        <v>219</v>
      </c>
      <c r="AA35" t="s">
        <v>129</v>
      </c>
      <c r="AB35" t="s">
        <v>129</v>
      </c>
      <c r="AC35" t="s">
        <v>79</v>
      </c>
      <c r="AD35" t="s">
        <v>220</v>
      </c>
    </row>
    <row r="36" spans="1:46">
      <c r="A36" t="s">
        <v>75</v>
      </c>
      <c r="B36" t="s">
        <v>120</v>
      </c>
      <c r="C36" t="s">
        <v>216</v>
      </c>
      <c r="D36" t="s">
        <v>216</v>
      </c>
      <c r="E36" t="s">
        <v>221</v>
      </c>
      <c r="F36" t="s">
        <v>218</v>
      </c>
      <c r="G36" t="s">
        <v>121</v>
      </c>
      <c r="H36" t="s">
        <v>130</v>
      </c>
      <c r="I36" t="s">
        <v>131</v>
      </c>
      <c r="J36" t="s">
        <v>132</v>
      </c>
      <c r="K36" t="s">
        <v>133</v>
      </c>
      <c r="L36" t="s">
        <v>134</v>
      </c>
      <c r="M36" t="s">
        <v>132</v>
      </c>
      <c r="N36" t="s">
        <v>78</v>
      </c>
      <c r="O36" t="s">
        <v>135</v>
      </c>
      <c r="P36" s="13">
        <v>-3410694.93</v>
      </c>
      <c r="Q36" s="13">
        <v>-257984.96</v>
      </c>
      <c r="R36">
        <v>7.5639999999999999E-2</v>
      </c>
      <c r="S36" t="s">
        <v>128</v>
      </c>
      <c r="T36" t="s">
        <v>120</v>
      </c>
      <c r="U36" t="s">
        <v>215</v>
      </c>
      <c r="V36" t="s">
        <v>80</v>
      </c>
      <c r="W36" t="s">
        <v>85</v>
      </c>
      <c r="X36" t="s">
        <v>77</v>
      </c>
      <c r="Y36" t="s">
        <v>120</v>
      </c>
      <c r="Z36" t="s">
        <v>219</v>
      </c>
      <c r="AA36" t="s">
        <v>129</v>
      </c>
      <c r="AB36" t="s">
        <v>129</v>
      </c>
      <c r="AC36" t="s">
        <v>79</v>
      </c>
      <c r="AD36" t="s">
        <v>220</v>
      </c>
    </row>
    <row r="37" spans="1:46">
      <c r="A37" t="s">
        <v>75</v>
      </c>
      <c r="B37" t="s">
        <v>120</v>
      </c>
      <c r="C37" t="s">
        <v>216</v>
      </c>
      <c r="D37" t="s">
        <v>216</v>
      </c>
      <c r="E37" t="s">
        <v>222</v>
      </c>
      <c r="F37" t="s">
        <v>223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124</v>
      </c>
      <c r="N37" t="s">
        <v>78</v>
      </c>
      <c r="O37" t="s">
        <v>127</v>
      </c>
      <c r="P37" s="13">
        <v>605454</v>
      </c>
      <c r="Q37" s="13">
        <v>45796.54</v>
      </c>
      <c r="R37">
        <v>7.5639999999999999E-2</v>
      </c>
      <c r="S37" t="s">
        <v>128</v>
      </c>
      <c r="T37" t="s">
        <v>120</v>
      </c>
      <c r="U37" t="s">
        <v>215</v>
      </c>
      <c r="V37" t="s">
        <v>80</v>
      </c>
      <c r="W37" t="s">
        <v>85</v>
      </c>
      <c r="X37" t="s">
        <v>77</v>
      </c>
      <c r="Y37" t="s">
        <v>120</v>
      </c>
      <c r="Z37" t="s">
        <v>224</v>
      </c>
      <c r="AA37" t="s">
        <v>129</v>
      </c>
      <c r="AB37" t="s">
        <v>129</v>
      </c>
      <c r="AC37" t="s">
        <v>79</v>
      </c>
      <c r="AD37" t="s">
        <v>225</v>
      </c>
    </row>
    <row r="38" spans="1:46">
      <c r="A38" t="s">
        <v>75</v>
      </c>
      <c r="B38" t="s">
        <v>120</v>
      </c>
      <c r="C38" t="s">
        <v>216</v>
      </c>
      <c r="D38" t="s">
        <v>216</v>
      </c>
      <c r="E38" t="s">
        <v>226</v>
      </c>
      <c r="F38" t="s">
        <v>223</v>
      </c>
      <c r="G38" t="s">
        <v>121</v>
      </c>
      <c r="H38" t="s">
        <v>130</v>
      </c>
      <c r="I38" t="s">
        <v>131</v>
      </c>
      <c r="J38" t="s">
        <v>132</v>
      </c>
      <c r="K38" t="s">
        <v>133</v>
      </c>
      <c r="L38" t="s">
        <v>134</v>
      </c>
      <c r="M38" t="s">
        <v>132</v>
      </c>
      <c r="N38" t="s">
        <v>78</v>
      </c>
      <c r="O38" t="s">
        <v>135</v>
      </c>
      <c r="P38" s="13">
        <v>-605454</v>
      </c>
      <c r="Q38" s="13">
        <v>-45796.54</v>
      </c>
      <c r="R38">
        <v>7.5639999999999999E-2</v>
      </c>
      <c r="S38" t="s">
        <v>128</v>
      </c>
      <c r="T38" t="s">
        <v>120</v>
      </c>
      <c r="U38" t="s">
        <v>215</v>
      </c>
      <c r="V38" t="s">
        <v>80</v>
      </c>
      <c r="W38" t="s">
        <v>85</v>
      </c>
      <c r="X38" t="s">
        <v>77</v>
      </c>
      <c r="Y38" t="s">
        <v>120</v>
      </c>
      <c r="Z38" t="s">
        <v>224</v>
      </c>
      <c r="AA38" t="s">
        <v>129</v>
      </c>
      <c r="AB38" t="s">
        <v>129</v>
      </c>
      <c r="AC38" t="s">
        <v>79</v>
      </c>
      <c r="AD38" t="s">
        <v>225</v>
      </c>
    </row>
    <row r="41" spans="1:46">
      <c r="A41" s="11" t="s">
        <v>136</v>
      </c>
    </row>
    <row r="42" spans="1:46" ht="30" customHeight="1">
      <c r="A42" s="15" t="s">
        <v>137</v>
      </c>
      <c r="B42" s="15" t="s">
        <v>0</v>
      </c>
      <c r="C42" s="15" t="s">
        <v>138</v>
      </c>
      <c r="D42" s="15" t="s">
        <v>139</v>
      </c>
      <c r="E42" s="15" t="s">
        <v>140</v>
      </c>
      <c r="F42" s="15" t="s">
        <v>141</v>
      </c>
      <c r="G42" s="15" t="s">
        <v>142</v>
      </c>
      <c r="H42" s="16" t="s">
        <v>143</v>
      </c>
      <c r="I42" s="16" t="s">
        <v>144</v>
      </c>
      <c r="J42" s="16" t="s">
        <v>145</v>
      </c>
      <c r="K42" s="16" t="s">
        <v>146</v>
      </c>
      <c r="L42" s="16" t="s">
        <v>147</v>
      </c>
      <c r="M42" s="16" t="s">
        <v>148</v>
      </c>
      <c r="N42" s="15" t="s">
        <v>149</v>
      </c>
      <c r="O42" s="16" t="s">
        <v>150</v>
      </c>
      <c r="P42" s="16" t="s">
        <v>151</v>
      </c>
      <c r="Q42" s="15" t="s">
        <v>152</v>
      </c>
      <c r="R42" s="15" t="s">
        <v>153</v>
      </c>
      <c r="S42" s="15" t="s">
        <v>154</v>
      </c>
      <c r="T42" s="15" t="s">
        <v>155</v>
      </c>
      <c r="U42" s="15" t="s">
        <v>156</v>
      </c>
      <c r="V42" s="15" t="s">
        <v>157</v>
      </c>
      <c r="W42" s="16" t="s">
        <v>158</v>
      </c>
      <c r="X42" s="15" t="s">
        <v>159</v>
      </c>
      <c r="Y42" s="15" t="s">
        <v>160</v>
      </c>
      <c r="Z42" s="15" t="s">
        <v>161</v>
      </c>
      <c r="AA42" s="15" t="s">
        <v>162</v>
      </c>
      <c r="AB42" s="15" t="s">
        <v>163</v>
      </c>
      <c r="AC42" s="15" t="s">
        <v>164</v>
      </c>
      <c r="AD42" s="15" t="s">
        <v>165</v>
      </c>
      <c r="AE42" s="17" t="s">
        <v>166</v>
      </c>
    </row>
    <row r="43" spans="1:46" ht="21.5" customHeight="1">
      <c r="B43" s="18" t="s">
        <v>215</v>
      </c>
      <c r="C43" s="18" t="s">
        <v>229</v>
      </c>
      <c r="E43" s="18" t="s">
        <v>78</v>
      </c>
      <c r="G43" s="19">
        <v>45777</v>
      </c>
      <c r="H43" s="20">
        <v>4999</v>
      </c>
      <c r="I43" s="21">
        <v>803.3904</v>
      </c>
      <c r="J43" s="22">
        <v>893</v>
      </c>
      <c r="K43" s="23">
        <v>4016148.93</v>
      </c>
      <c r="L43" s="23">
        <v>303781.5</v>
      </c>
      <c r="M43" s="21">
        <v>893</v>
      </c>
      <c r="N43" s="23">
        <v>4464107</v>
      </c>
      <c r="O43" s="23">
        <v>52892.26</v>
      </c>
      <c r="P43" s="24">
        <v>8.02705136095411E-2</v>
      </c>
      <c r="Q43" s="23">
        <v>0</v>
      </c>
      <c r="R43" s="23">
        <v>0</v>
      </c>
      <c r="S43" s="23">
        <v>0</v>
      </c>
      <c r="T43" s="23">
        <v>0</v>
      </c>
      <c r="U43" s="23">
        <v>303781.5</v>
      </c>
      <c r="V43" s="23">
        <v>0</v>
      </c>
      <c r="W43" s="42">
        <v>7.5639999999999999E-2</v>
      </c>
      <c r="X43" s="23">
        <v>447958.07</v>
      </c>
      <c r="Y43" s="23">
        <v>5307.56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</row>
    <row r="45" spans="1:46">
      <c r="H45">
        <f>O28+O29</f>
        <v>4999</v>
      </c>
      <c r="I45">
        <f>K43/H43</f>
        <v>803.39046409281855</v>
      </c>
      <c r="K45" s="14">
        <f>P37+P35</f>
        <v>4016148.93</v>
      </c>
      <c r="L45">
        <f>K43*R38</f>
        <v>303781.50506520004</v>
      </c>
      <c r="S45" s="14"/>
    </row>
    <row r="46" spans="1:46">
      <c r="A46" s="11" t="s">
        <v>167</v>
      </c>
    </row>
    <row r="47" spans="1:46" ht="32" customHeight="1">
      <c r="A47" s="25" t="s">
        <v>91</v>
      </c>
      <c r="B47" s="25" t="s">
        <v>168</v>
      </c>
      <c r="C47" s="25" t="s">
        <v>169</v>
      </c>
      <c r="D47" s="25" t="s">
        <v>170</v>
      </c>
      <c r="E47" s="25" t="s">
        <v>94</v>
      </c>
      <c r="F47" s="25" t="s">
        <v>171</v>
      </c>
      <c r="G47" s="25" t="s">
        <v>172</v>
      </c>
      <c r="H47" s="25" t="s">
        <v>173</v>
      </c>
      <c r="I47" s="25" t="s">
        <v>0</v>
      </c>
      <c r="J47" s="25" t="s">
        <v>174</v>
      </c>
      <c r="K47" s="26" t="s">
        <v>145</v>
      </c>
      <c r="L47" s="25" t="s">
        <v>109</v>
      </c>
      <c r="M47" s="131" t="s">
        <v>175</v>
      </c>
      <c r="N47" s="131"/>
      <c r="O47" s="131" t="s">
        <v>158</v>
      </c>
      <c r="P47" s="131"/>
      <c r="Q47" s="131" t="s">
        <v>113</v>
      </c>
      <c r="R47" s="131"/>
      <c r="S47" s="131" t="s">
        <v>176</v>
      </c>
      <c r="T47" s="131"/>
      <c r="U47" s="25" t="s">
        <v>177</v>
      </c>
      <c r="V47" s="25" t="s">
        <v>178</v>
      </c>
      <c r="W47" s="25" t="s">
        <v>179</v>
      </c>
      <c r="X47" s="125" t="s">
        <v>143</v>
      </c>
      <c r="Y47" s="125"/>
      <c r="Z47" s="125" t="s">
        <v>180</v>
      </c>
      <c r="AA47" s="125"/>
      <c r="AB47" s="125" t="s">
        <v>181</v>
      </c>
      <c r="AC47" s="125"/>
      <c r="AD47" s="26" t="s">
        <v>182</v>
      </c>
      <c r="AE47" s="26" t="s">
        <v>183</v>
      </c>
      <c r="AF47" s="26" t="s">
        <v>184</v>
      </c>
      <c r="AG47" s="26" t="s">
        <v>185</v>
      </c>
      <c r="AH47" s="26" t="s">
        <v>186</v>
      </c>
      <c r="AI47" s="26" t="s">
        <v>187</v>
      </c>
      <c r="AJ47" s="26" t="s">
        <v>188</v>
      </c>
      <c r="AK47" s="26" t="s">
        <v>189</v>
      </c>
      <c r="AL47" s="26" t="s">
        <v>190</v>
      </c>
      <c r="AM47" s="26" t="s">
        <v>191</v>
      </c>
      <c r="AN47" s="26" t="s">
        <v>192</v>
      </c>
      <c r="AO47" s="40" t="s">
        <v>193</v>
      </c>
      <c r="AP47" s="33"/>
      <c r="AQ47" s="125" t="s">
        <v>194</v>
      </c>
      <c r="AR47" s="125"/>
      <c r="AS47" s="41" t="s">
        <v>195</v>
      </c>
    </row>
    <row r="48" spans="1:46" ht="15" customHeight="1">
      <c r="A48" s="126" t="s">
        <v>227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</row>
    <row r="49" spans="1:46" ht="27" customHeight="1">
      <c r="A49" s="18" t="s">
        <v>75</v>
      </c>
      <c r="B49" s="18" t="s">
        <v>196</v>
      </c>
      <c r="C49" s="18" t="s">
        <v>197</v>
      </c>
      <c r="D49" s="18" t="s">
        <v>198</v>
      </c>
      <c r="E49" s="19">
        <v>45626</v>
      </c>
      <c r="F49" s="19">
        <v>45626</v>
      </c>
      <c r="G49" s="18" t="s">
        <v>218</v>
      </c>
      <c r="H49" s="18" t="s">
        <v>85</v>
      </c>
      <c r="I49" s="18" t="s">
        <v>215</v>
      </c>
      <c r="J49" s="18" t="s">
        <v>228</v>
      </c>
      <c r="K49" s="23">
        <v>789.33</v>
      </c>
      <c r="L49" s="28" t="s">
        <v>128</v>
      </c>
      <c r="N49" s="127" t="s">
        <v>199</v>
      </c>
      <c r="O49" s="127"/>
      <c r="P49" s="127" t="s">
        <v>82</v>
      </c>
      <c r="Q49" s="127"/>
      <c r="R49" s="127" t="s">
        <v>77</v>
      </c>
      <c r="S49" s="127"/>
      <c r="T49" s="128" t="s">
        <v>200</v>
      </c>
      <c r="U49" s="128"/>
      <c r="Y49" s="129">
        <v>4321</v>
      </c>
      <c r="Z49" s="129"/>
      <c r="AA49" s="130">
        <v>0</v>
      </c>
      <c r="AB49" s="130"/>
      <c r="AC49" s="23">
        <v>40411.07</v>
      </c>
      <c r="AD49" s="23" t="s">
        <v>201</v>
      </c>
      <c r="AE49" s="23">
        <v>0</v>
      </c>
      <c r="AF49" s="22">
        <v>0</v>
      </c>
      <c r="AG49" s="23">
        <v>0</v>
      </c>
      <c r="AH49" s="23">
        <v>0</v>
      </c>
      <c r="AI49" s="23">
        <v>0</v>
      </c>
      <c r="AJ49" s="23">
        <v>3410694.93</v>
      </c>
      <c r="AK49" s="23">
        <v>257984.96</v>
      </c>
      <c r="AL49" s="23">
        <v>3410694.93</v>
      </c>
      <c r="AM49" s="23">
        <v>257984.96</v>
      </c>
      <c r="AN49" s="23">
        <v>0</v>
      </c>
      <c r="AO49" s="23">
        <v>0</v>
      </c>
      <c r="AQ49" s="129">
        <v>0</v>
      </c>
      <c r="AR49" s="129"/>
      <c r="AS49" s="23">
        <v>0</v>
      </c>
    </row>
    <row r="50" spans="1:46" ht="27" customHeight="1">
      <c r="A50" s="29" t="s">
        <v>75</v>
      </c>
      <c r="B50" s="29" t="s">
        <v>196</v>
      </c>
      <c r="C50" s="29" t="s">
        <v>197</v>
      </c>
      <c r="D50" s="29" t="s">
        <v>198</v>
      </c>
      <c r="E50" s="30">
        <v>45626</v>
      </c>
      <c r="F50" s="30">
        <v>45627</v>
      </c>
      <c r="G50" s="29" t="s">
        <v>223</v>
      </c>
      <c r="H50" s="29" t="s">
        <v>85</v>
      </c>
      <c r="I50" s="29" t="s">
        <v>215</v>
      </c>
      <c r="J50" s="29" t="s">
        <v>228</v>
      </c>
      <c r="K50" s="31">
        <v>893</v>
      </c>
      <c r="L50" s="32" t="s">
        <v>128</v>
      </c>
      <c r="M50" s="33"/>
      <c r="N50" s="122" t="s">
        <v>199</v>
      </c>
      <c r="O50" s="122"/>
      <c r="P50" s="122" t="s">
        <v>82</v>
      </c>
      <c r="Q50" s="122"/>
      <c r="R50" s="122" t="s">
        <v>77</v>
      </c>
      <c r="S50" s="122"/>
      <c r="T50" s="123" t="s">
        <v>200</v>
      </c>
      <c r="U50" s="123"/>
      <c r="V50" s="33"/>
      <c r="W50" s="33"/>
      <c r="X50" s="33"/>
      <c r="Y50" s="121">
        <v>678</v>
      </c>
      <c r="Z50" s="121"/>
      <c r="AA50" s="124">
        <v>0</v>
      </c>
      <c r="AB50" s="124"/>
      <c r="AC50" s="31">
        <v>7173.62</v>
      </c>
      <c r="AD50" s="31" t="s">
        <v>201</v>
      </c>
      <c r="AE50" s="31">
        <v>0</v>
      </c>
      <c r="AF50" s="34">
        <v>0</v>
      </c>
      <c r="AG50" s="31">
        <v>0</v>
      </c>
      <c r="AH50" s="31">
        <v>0</v>
      </c>
      <c r="AI50" s="31">
        <v>0</v>
      </c>
      <c r="AJ50" s="31">
        <v>605454</v>
      </c>
      <c r="AK50" s="31">
        <v>45796.54</v>
      </c>
      <c r="AL50" s="31">
        <v>605454</v>
      </c>
      <c r="AM50" s="31">
        <v>45796.54</v>
      </c>
      <c r="AN50" s="31">
        <v>0</v>
      </c>
      <c r="AO50" s="31">
        <v>0</v>
      </c>
      <c r="AP50" s="33"/>
      <c r="AQ50" s="121">
        <v>0</v>
      </c>
      <c r="AR50" s="121"/>
      <c r="AS50" s="31">
        <v>0</v>
      </c>
      <c r="AT50" s="33"/>
    </row>
    <row r="54" spans="1:46">
      <c r="A54" s="11" t="s">
        <v>202</v>
      </c>
    </row>
    <row r="69" spans="1:31">
      <c r="A69" s="11" t="s">
        <v>90</v>
      </c>
    </row>
    <row r="70" spans="1:31">
      <c r="A70" s="39" t="s">
        <v>91</v>
      </c>
      <c r="B70" s="39" t="s">
        <v>92</v>
      </c>
      <c r="C70" s="39" t="s">
        <v>93</v>
      </c>
      <c r="D70" s="39" t="s">
        <v>94</v>
      </c>
      <c r="E70" s="39" t="s">
        <v>95</v>
      </c>
      <c r="F70" s="39" t="s">
        <v>96</v>
      </c>
      <c r="G70" s="39" t="s">
        <v>97</v>
      </c>
      <c r="H70" s="39" t="s">
        <v>98</v>
      </c>
      <c r="I70" s="39" t="s">
        <v>99</v>
      </c>
      <c r="J70" s="39" t="s">
        <v>100</v>
      </c>
      <c r="K70" s="39" t="s">
        <v>101</v>
      </c>
      <c r="L70" s="39" t="s">
        <v>102</v>
      </c>
      <c r="M70" s="39" t="s">
        <v>103</v>
      </c>
      <c r="N70" s="39" t="s">
        <v>104</v>
      </c>
      <c r="O70" s="39" t="s">
        <v>105</v>
      </c>
      <c r="P70" s="39" t="s">
        <v>106</v>
      </c>
      <c r="Q70" s="39" t="s">
        <v>107</v>
      </c>
      <c r="R70" s="39" t="s">
        <v>108</v>
      </c>
      <c r="S70" s="39" t="s">
        <v>109</v>
      </c>
      <c r="T70" s="39" t="s">
        <v>110</v>
      </c>
      <c r="U70" s="39" t="s">
        <v>0</v>
      </c>
      <c r="V70" s="39" t="s">
        <v>111</v>
      </c>
      <c r="W70" s="39" t="s">
        <v>112</v>
      </c>
      <c r="X70" s="39" t="s">
        <v>113</v>
      </c>
      <c r="Y70" s="39" t="s">
        <v>114</v>
      </c>
      <c r="Z70" s="39" t="s">
        <v>115</v>
      </c>
      <c r="AA70" s="39" t="s">
        <v>116</v>
      </c>
      <c r="AB70" s="39" t="s">
        <v>117</v>
      </c>
      <c r="AC70" s="39" t="s">
        <v>118</v>
      </c>
      <c r="AD70" s="39" t="s">
        <v>119</v>
      </c>
    </row>
    <row r="71" spans="1:31">
      <c r="A71" t="s">
        <v>75</v>
      </c>
      <c r="B71" t="s">
        <v>120</v>
      </c>
      <c r="C71" t="s">
        <v>216</v>
      </c>
      <c r="D71" t="s">
        <v>216</v>
      </c>
      <c r="E71" t="s">
        <v>230</v>
      </c>
      <c r="F71" t="s">
        <v>231</v>
      </c>
      <c r="G71" t="s">
        <v>203</v>
      </c>
      <c r="H71" t="s">
        <v>204</v>
      </c>
      <c r="I71" t="s">
        <v>205</v>
      </c>
      <c r="J71" t="s">
        <v>206</v>
      </c>
      <c r="K71" t="s">
        <v>207</v>
      </c>
      <c r="L71" t="s">
        <v>208</v>
      </c>
      <c r="M71" t="s">
        <v>206</v>
      </c>
      <c r="N71" t="s">
        <v>78</v>
      </c>
      <c r="O71" t="s">
        <v>135</v>
      </c>
      <c r="P71" s="13">
        <v>-689664.36</v>
      </c>
      <c r="Q71" s="13">
        <v>-8171.38</v>
      </c>
      <c r="R71">
        <v>1.1848340000000001E-2</v>
      </c>
      <c r="S71" t="s">
        <v>128</v>
      </c>
      <c r="T71" t="s">
        <v>120</v>
      </c>
      <c r="U71" t="s">
        <v>215</v>
      </c>
      <c r="V71" t="s">
        <v>80</v>
      </c>
      <c r="W71" t="s">
        <v>209</v>
      </c>
      <c r="X71" t="s">
        <v>120</v>
      </c>
      <c r="Y71" t="s">
        <v>120</v>
      </c>
      <c r="Z71" t="s">
        <v>232</v>
      </c>
      <c r="AA71" t="s">
        <v>129</v>
      </c>
      <c r="AB71" t="s">
        <v>210</v>
      </c>
      <c r="AC71" t="s">
        <v>79</v>
      </c>
      <c r="AD71" t="s">
        <v>231</v>
      </c>
    </row>
    <row r="72" spans="1:31">
      <c r="A72" t="s">
        <v>75</v>
      </c>
      <c r="B72" t="s">
        <v>120</v>
      </c>
      <c r="C72" t="s">
        <v>216</v>
      </c>
      <c r="D72" t="s">
        <v>216</v>
      </c>
      <c r="E72" t="s">
        <v>233</v>
      </c>
      <c r="F72" t="s">
        <v>231</v>
      </c>
      <c r="G72" t="s">
        <v>203</v>
      </c>
      <c r="H72" t="s">
        <v>130</v>
      </c>
      <c r="I72" t="s">
        <v>211</v>
      </c>
      <c r="J72" t="s">
        <v>212</v>
      </c>
      <c r="K72" t="s">
        <v>213</v>
      </c>
      <c r="L72" t="s">
        <v>214</v>
      </c>
      <c r="M72" t="s">
        <v>212</v>
      </c>
      <c r="N72" t="s">
        <v>78</v>
      </c>
      <c r="O72" t="s">
        <v>127</v>
      </c>
      <c r="P72" s="13">
        <v>689664.36</v>
      </c>
      <c r="Q72" s="13">
        <v>8171.38</v>
      </c>
      <c r="R72">
        <v>1.1848340000000001E-2</v>
      </c>
      <c r="S72" t="s">
        <v>128</v>
      </c>
      <c r="T72" t="s">
        <v>120</v>
      </c>
      <c r="U72" t="s">
        <v>215</v>
      </c>
      <c r="V72" t="s">
        <v>80</v>
      </c>
      <c r="W72" t="s">
        <v>209</v>
      </c>
      <c r="X72" t="s">
        <v>120</v>
      </c>
      <c r="Y72" t="s">
        <v>120</v>
      </c>
      <c r="Z72" t="s">
        <v>232</v>
      </c>
      <c r="AA72" t="s">
        <v>129</v>
      </c>
      <c r="AB72" t="s">
        <v>210</v>
      </c>
      <c r="AC72" t="s">
        <v>79</v>
      </c>
      <c r="AD72" t="s">
        <v>231</v>
      </c>
    </row>
    <row r="76" spans="1:31">
      <c r="A76" s="11" t="s">
        <v>136</v>
      </c>
    </row>
    <row r="77" spans="1:31" ht="30" customHeight="1">
      <c r="A77" s="15" t="s">
        <v>137</v>
      </c>
      <c r="B77" s="15" t="s">
        <v>0</v>
      </c>
      <c r="C77" s="15" t="s">
        <v>138</v>
      </c>
      <c r="D77" s="15" t="s">
        <v>139</v>
      </c>
      <c r="E77" s="15" t="s">
        <v>140</v>
      </c>
      <c r="F77" s="15" t="s">
        <v>141</v>
      </c>
      <c r="G77" s="15" t="s">
        <v>142</v>
      </c>
      <c r="H77" s="16" t="s">
        <v>143</v>
      </c>
      <c r="I77" s="16" t="s">
        <v>144</v>
      </c>
      <c r="J77" s="16" t="s">
        <v>145</v>
      </c>
      <c r="K77" s="16" t="s">
        <v>146</v>
      </c>
      <c r="L77" s="16" t="s">
        <v>147</v>
      </c>
      <c r="M77" s="16" t="s">
        <v>148</v>
      </c>
      <c r="N77" s="15" t="s">
        <v>149</v>
      </c>
      <c r="O77" s="16" t="s">
        <v>150</v>
      </c>
      <c r="P77" s="16" t="s">
        <v>151</v>
      </c>
      <c r="Q77" s="15" t="s">
        <v>152</v>
      </c>
      <c r="R77" s="15" t="s">
        <v>153</v>
      </c>
      <c r="S77" s="15" t="s">
        <v>154</v>
      </c>
      <c r="T77" s="15" t="s">
        <v>155</v>
      </c>
      <c r="U77" s="15" t="s">
        <v>156</v>
      </c>
      <c r="V77" s="15" t="s">
        <v>157</v>
      </c>
      <c r="W77" s="16" t="s">
        <v>158</v>
      </c>
      <c r="X77" s="15" t="s">
        <v>159</v>
      </c>
      <c r="Y77" s="15" t="s">
        <v>160</v>
      </c>
      <c r="Z77" s="15" t="s">
        <v>161</v>
      </c>
      <c r="AA77" s="15" t="s">
        <v>162</v>
      </c>
      <c r="AB77" s="15" t="s">
        <v>163</v>
      </c>
      <c r="AC77" s="15" t="s">
        <v>164</v>
      </c>
      <c r="AD77" s="15" t="s">
        <v>165</v>
      </c>
      <c r="AE77" s="17" t="s">
        <v>166</v>
      </c>
    </row>
    <row r="78" spans="1:31" ht="21.5" customHeight="1">
      <c r="B78" s="18" t="s">
        <v>215</v>
      </c>
      <c r="C78" s="18" t="s">
        <v>229</v>
      </c>
      <c r="E78" s="18" t="s">
        <v>78</v>
      </c>
      <c r="G78" s="19">
        <v>45777</v>
      </c>
      <c r="H78" s="20">
        <v>4999</v>
      </c>
      <c r="I78" s="21">
        <v>803.3904</v>
      </c>
      <c r="J78" s="22">
        <v>893</v>
      </c>
      <c r="K78" s="23">
        <v>4016148.93</v>
      </c>
      <c r="L78" s="23">
        <v>303781.5</v>
      </c>
      <c r="M78" s="21">
        <v>665.43</v>
      </c>
      <c r="N78" s="23">
        <v>3326484.57</v>
      </c>
      <c r="O78" s="23">
        <v>39413.32</v>
      </c>
      <c r="P78" s="24">
        <v>5.9383344576477821E-2</v>
      </c>
      <c r="Q78" s="23">
        <v>0</v>
      </c>
      <c r="R78" s="23">
        <v>0</v>
      </c>
      <c r="S78" s="23">
        <v>0</v>
      </c>
      <c r="T78" s="23">
        <v>0</v>
      </c>
      <c r="U78" s="23">
        <v>303781.5</v>
      </c>
      <c r="V78" s="23">
        <v>0</v>
      </c>
      <c r="W78" s="22">
        <v>1.1848340000000001E-2</v>
      </c>
      <c r="X78" s="23">
        <v>-689664.36</v>
      </c>
      <c r="Y78" s="23">
        <v>-8171.38</v>
      </c>
      <c r="Z78" s="23">
        <v>0</v>
      </c>
      <c r="AA78" s="23">
        <v>0</v>
      </c>
      <c r="AB78" s="23">
        <v>0</v>
      </c>
      <c r="AC78" s="23">
        <v>-689664.36</v>
      </c>
      <c r="AD78" s="23">
        <v>-8171.38</v>
      </c>
      <c r="AE78" s="35">
        <v>45626</v>
      </c>
    </row>
    <row r="80" spans="1:31">
      <c r="L80" s="14">
        <f>K78*R72</f>
        <v>47584.698013276204</v>
      </c>
      <c r="M80" s="14"/>
      <c r="N80" s="14">
        <f>M78*H78</f>
        <v>3326484.57</v>
      </c>
      <c r="O80" s="14">
        <f>N78*W78</f>
        <v>39413.320190113802</v>
      </c>
      <c r="X80" s="14">
        <f>N78-K78</f>
        <v>-689664.36000000034</v>
      </c>
      <c r="Y80" s="14">
        <f>O80-L80</f>
        <v>-8171.3778231624019</v>
      </c>
    </row>
    <row r="83" spans="1:1">
      <c r="A83" t="s">
        <v>234</v>
      </c>
    </row>
    <row r="84" spans="1:1">
      <c r="A84" s="11" t="s">
        <v>235</v>
      </c>
    </row>
    <row r="102" spans="1:1">
      <c r="A102" s="11" t="s">
        <v>202</v>
      </c>
    </row>
    <row r="113" spans="1:73">
      <c r="A113" s="11" t="s">
        <v>90</v>
      </c>
    </row>
    <row r="114" spans="1:73">
      <c r="A114" s="12" t="s">
        <v>91</v>
      </c>
      <c r="B114" s="12" t="s">
        <v>92</v>
      </c>
      <c r="C114" s="12" t="s">
        <v>93</v>
      </c>
      <c r="D114" s="12" t="s">
        <v>94</v>
      </c>
      <c r="E114" s="12" t="s">
        <v>95</v>
      </c>
      <c r="F114" s="12" t="s">
        <v>96</v>
      </c>
      <c r="G114" s="12" t="s">
        <v>97</v>
      </c>
      <c r="H114" s="12" t="s">
        <v>98</v>
      </c>
      <c r="I114" s="12" t="s">
        <v>99</v>
      </c>
      <c r="J114" s="12" t="s">
        <v>100</v>
      </c>
      <c r="K114" s="12" t="s">
        <v>101</v>
      </c>
      <c r="L114" s="12" t="s">
        <v>102</v>
      </c>
      <c r="M114" s="12" t="s">
        <v>103</v>
      </c>
      <c r="N114" s="12" t="s">
        <v>104</v>
      </c>
      <c r="O114" s="12" t="s">
        <v>105</v>
      </c>
      <c r="P114" s="12" t="s">
        <v>106</v>
      </c>
      <c r="Q114" s="12" t="s">
        <v>107</v>
      </c>
      <c r="R114" s="12" t="s">
        <v>108</v>
      </c>
      <c r="S114" s="12" t="s">
        <v>109</v>
      </c>
      <c r="T114" s="12" t="s">
        <v>110</v>
      </c>
      <c r="U114" s="12" t="s">
        <v>0</v>
      </c>
      <c r="V114" s="12" t="s">
        <v>111</v>
      </c>
      <c r="W114" s="12" t="s">
        <v>112</v>
      </c>
      <c r="X114" s="12" t="s">
        <v>113</v>
      </c>
      <c r="Y114" s="12" t="s">
        <v>114</v>
      </c>
      <c r="Z114" s="12" t="s">
        <v>115</v>
      </c>
      <c r="AA114" s="12" t="s">
        <v>116</v>
      </c>
      <c r="AB114" s="12" t="s">
        <v>117</v>
      </c>
      <c r="AC114" s="12" t="s">
        <v>118</v>
      </c>
      <c r="AD114" s="12" t="s">
        <v>119</v>
      </c>
    </row>
    <row r="115" spans="1:73">
      <c r="A115" t="s">
        <v>75</v>
      </c>
      <c r="B115" t="s">
        <v>120</v>
      </c>
      <c r="C115" t="s">
        <v>236</v>
      </c>
      <c r="D115" t="s">
        <v>236</v>
      </c>
      <c r="E115" t="s">
        <v>237</v>
      </c>
      <c r="F115" t="s">
        <v>238</v>
      </c>
      <c r="G115" t="s">
        <v>203</v>
      </c>
      <c r="H115" t="s">
        <v>204</v>
      </c>
      <c r="I115" t="s">
        <v>205</v>
      </c>
      <c r="J115" t="s">
        <v>206</v>
      </c>
      <c r="K115" t="s">
        <v>207</v>
      </c>
      <c r="L115" t="s">
        <v>208</v>
      </c>
      <c r="M115" t="s">
        <v>206</v>
      </c>
      <c r="N115" t="s">
        <v>78</v>
      </c>
      <c r="O115" t="s">
        <v>127</v>
      </c>
      <c r="P115" s="13">
        <v>39992</v>
      </c>
      <c r="Q115" s="13">
        <v>150.79</v>
      </c>
      <c r="R115">
        <v>1.23456E-2</v>
      </c>
      <c r="S115" t="s">
        <v>128</v>
      </c>
      <c r="T115" t="s">
        <v>120</v>
      </c>
      <c r="U115" t="s">
        <v>215</v>
      </c>
      <c r="V115" t="s">
        <v>80</v>
      </c>
      <c r="W115" t="s">
        <v>209</v>
      </c>
      <c r="X115" t="s">
        <v>120</v>
      </c>
      <c r="Y115" t="s">
        <v>120</v>
      </c>
      <c r="Z115" t="s">
        <v>232</v>
      </c>
      <c r="AA115" t="s">
        <v>129</v>
      </c>
      <c r="AB115" t="s">
        <v>210</v>
      </c>
      <c r="AC115" t="s">
        <v>79</v>
      </c>
      <c r="AD115" t="s">
        <v>238</v>
      </c>
    </row>
    <row r="116" spans="1:73">
      <c r="A116" t="s">
        <v>75</v>
      </c>
      <c r="B116" t="s">
        <v>120</v>
      </c>
      <c r="C116" t="s">
        <v>236</v>
      </c>
      <c r="D116" t="s">
        <v>236</v>
      </c>
      <c r="E116" t="s">
        <v>239</v>
      </c>
      <c r="F116" t="s">
        <v>238</v>
      </c>
      <c r="G116" t="s">
        <v>203</v>
      </c>
      <c r="H116" t="s">
        <v>130</v>
      </c>
      <c r="I116" t="s">
        <v>211</v>
      </c>
      <c r="J116" t="s">
        <v>212</v>
      </c>
      <c r="K116" t="s">
        <v>213</v>
      </c>
      <c r="L116" t="s">
        <v>214</v>
      </c>
      <c r="M116" t="s">
        <v>212</v>
      </c>
      <c r="N116" t="s">
        <v>78</v>
      </c>
      <c r="O116" t="s">
        <v>135</v>
      </c>
      <c r="P116" s="13">
        <v>-39992</v>
      </c>
      <c r="Q116" s="13">
        <v>-150.79</v>
      </c>
      <c r="R116">
        <v>1.23456E-2</v>
      </c>
      <c r="S116" t="s">
        <v>128</v>
      </c>
      <c r="T116" t="s">
        <v>120</v>
      </c>
      <c r="U116" t="s">
        <v>215</v>
      </c>
      <c r="V116" t="s">
        <v>80</v>
      </c>
      <c r="W116" t="s">
        <v>209</v>
      </c>
      <c r="X116" t="s">
        <v>120</v>
      </c>
      <c r="Y116" t="s">
        <v>120</v>
      </c>
      <c r="Z116" t="s">
        <v>232</v>
      </c>
      <c r="AA116" t="s">
        <v>129</v>
      </c>
      <c r="AB116" t="s">
        <v>210</v>
      </c>
      <c r="AC116" t="s">
        <v>79</v>
      </c>
      <c r="AD116" t="s">
        <v>238</v>
      </c>
    </row>
    <row r="119" spans="1:73">
      <c r="A119" s="11" t="s">
        <v>136</v>
      </c>
    </row>
    <row r="120" spans="1:73" ht="30" customHeight="1">
      <c r="A120" s="15" t="s">
        <v>137</v>
      </c>
      <c r="B120" s="15" t="s">
        <v>0</v>
      </c>
      <c r="C120" s="15" t="s">
        <v>138</v>
      </c>
      <c r="D120" s="15" t="s">
        <v>139</v>
      </c>
      <c r="E120" s="15" t="s">
        <v>140</v>
      </c>
      <c r="F120" s="15" t="s">
        <v>141</v>
      </c>
      <c r="G120" s="15" t="s">
        <v>142</v>
      </c>
      <c r="H120" s="16" t="s">
        <v>143</v>
      </c>
      <c r="I120" s="16" t="s">
        <v>144</v>
      </c>
      <c r="J120" s="16" t="s">
        <v>145</v>
      </c>
      <c r="K120" s="16" t="s">
        <v>146</v>
      </c>
      <c r="L120" s="16" t="s">
        <v>147</v>
      </c>
      <c r="M120" s="16" t="s">
        <v>148</v>
      </c>
      <c r="N120" s="15" t="s">
        <v>149</v>
      </c>
      <c r="O120" s="16" t="s">
        <v>150</v>
      </c>
      <c r="P120" s="16" t="s">
        <v>151</v>
      </c>
      <c r="Q120" s="15" t="s">
        <v>152</v>
      </c>
      <c r="R120" s="15" t="s">
        <v>153</v>
      </c>
      <c r="S120" s="15" t="s">
        <v>154</v>
      </c>
      <c r="T120" s="15" t="s">
        <v>155</v>
      </c>
      <c r="U120" s="15" t="s">
        <v>156</v>
      </c>
      <c r="V120" s="15" t="s">
        <v>157</v>
      </c>
      <c r="W120" s="16" t="s">
        <v>158</v>
      </c>
      <c r="X120" s="15" t="s">
        <v>159</v>
      </c>
      <c r="Y120" s="15" t="s">
        <v>160</v>
      </c>
      <c r="Z120" s="15" t="s">
        <v>161</v>
      </c>
      <c r="AA120" s="15" t="s">
        <v>162</v>
      </c>
      <c r="AB120" s="15" t="s">
        <v>163</v>
      </c>
      <c r="AC120" s="15" t="s">
        <v>164</v>
      </c>
      <c r="AD120" s="15" t="s">
        <v>165</v>
      </c>
      <c r="AE120" s="17" t="s">
        <v>166</v>
      </c>
    </row>
    <row r="121" spans="1:73" ht="21.5" customHeight="1">
      <c r="B121" s="18" t="s">
        <v>215</v>
      </c>
      <c r="C121" s="18" t="s">
        <v>229</v>
      </c>
      <c r="E121" s="18" t="s">
        <v>78</v>
      </c>
      <c r="G121" s="19">
        <v>45777</v>
      </c>
      <c r="H121" s="20">
        <v>4999</v>
      </c>
      <c r="I121" s="21">
        <v>803.3904</v>
      </c>
      <c r="J121" s="22">
        <v>893</v>
      </c>
      <c r="K121" s="23">
        <v>4016148.93</v>
      </c>
      <c r="L121" s="23">
        <v>303781.5</v>
      </c>
      <c r="M121" s="21">
        <v>673.43</v>
      </c>
      <c r="N121" s="23">
        <v>3366476.57</v>
      </c>
      <c r="O121" s="23">
        <v>41561.17</v>
      </c>
      <c r="P121" s="24">
        <v>6.0400801925760132E-2</v>
      </c>
      <c r="Q121" s="23">
        <v>0</v>
      </c>
      <c r="R121" s="23">
        <v>0</v>
      </c>
      <c r="S121" s="23">
        <v>0</v>
      </c>
      <c r="T121" s="23">
        <v>0</v>
      </c>
      <c r="U121" s="23">
        <v>303781.5</v>
      </c>
      <c r="V121" s="23">
        <v>0</v>
      </c>
      <c r="W121" s="22">
        <v>1.23456E-2</v>
      </c>
      <c r="X121" s="23">
        <v>-649672.36</v>
      </c>
      <c r="Y121" s="23">
        <v>-8020.6</v>
      </c>
      <c r="Z121" s="23">
        <v>0</v>
      </c>
      <c r="AA121" s="23">
        <v>0</v>
      </c>
      <c r="AB121" s="23">
        <v>0</v>
      </c>
      <c r="AC121" s="23">
        <v>-649672.36</v>
      </c>
      <c r="AD121" s="23">
        <v>-8020.59</v>
      </c>
      <c r="AE121" s="35">
        <v>45626</v>
      </c>
    </row>
    <row r="123" spans="1:73">
      <c r="L123" s="47">
        <f>K121*W121</f>
        <v>49581.768230207999</v>
      </c>
      <c r="M123" s="47"/>
      <c r="N123" s="47">
        <f>M121*H121</f>
        <v>3366476.57</v>
      </c>
      <c r="O123" s="47">
        <f>N121*W121</f>
        <v>41561.173142592001</v>
      </c>
      <c r="P123" s="48"/>
      <c r="Q123" s="48"/>
      <c r="R123" s="48"/>
      <c r="S123" s="48"/>
      <c r="T123" s="48"/>
      <c r="U123" s="48"/>
      <c r="V123" s="48"/>
      <c r="W123" s="48"/>
      <c r="X123" s="47">
        <f>N121-K121</f>
        <v>-649672.36000000034</v>
      </c>
      <c r="Y123" s="47">
        <f>O123-L123</f>
        <v>-8020.5950876159986</v>
      </c>
      <c r="Z123" s="48"/>
      <c r="AA123" s="48"/>
      <c r="AB123" s="48"/>
      <c r="AC123" s="49">
        <f>N121-K121</f>
        <v>-649672.36000000034</v>
      </c>
      <c r="AD123" s="47">
        <f>AC121*W121</f>
        <v>-8020.5950876159995</v>
      </c>
    </row>
    <row r="125" spans="1:73">
      <c r="AC125" s="14">
        <f>AC78-AC123</f>
        <v>-39991.999999999651</v>
      </c>
      <c r="AD125" s="14">
        <f>AD78-AD121</f>
        <v>-150.78999999999996</v>
      </c>
    </row>
    <row r="126" spans="1:73">
      <c r="A126" s="11" t="s">
        <v>240</v>
      </c>
    </row>
    <row r="128" spans="1:73" s="36" customFormat="1" ht="12.5">
      <c r="A128" s="36" t="s">
        <v>2</v>
      </c>
      <c r="B128" s="36" t="s">
        <v>3</v>
      </c>
      <c r="C128" s="36" t="s">
        <v>4</v>
      </c>
      <c r="D128" s="36" t="s">
        <v>5</v>
      </c>
      <c r="E128" s="37" t="s">
        <v>6</v>
      </c>
      <c r="F128" s="36" t="s">
        <v>7</v>
      </c>
      <c r="G128" s="36" t="s">
        <v>8</v>
      </c>
      <c r="H128" s="36" t="s">
        <v>9</v>
      </c>
      <c r="I128" s="36" t="s">
        <v>10</v>
      </c>
      <c r="J128" s="36" t="s">
        <v>11</v>
      </c>
      <c r="K128" s="37" t="s">
        <v>12</v>
      </c>
      <c r="L128" s="36" t="s">
        <v>13</v>
      </c>
      <c r="M128" s="36" t="s">
        <v>14</v>
      </c>
      <c r="N128" s="36" t="s">
        <v>15</v>
      </c>
      <c r="O128" s="37" t="s">
        <v>16</v>
      </c>
      <c r="P128" s="37" t="s">
        <v>17</v>
      </c>
      <c r="Q128" s="37" t="s">
        <v>18</v>
      </c>
      <c r="R128" s="36" t="s">
        <v>19</v>
      </c>
      <c r="S128" s="37" t="s">
        <v>20</v>
      </c>
      <c r="T128" s="36" t="s">
        <v>21</v>
      </c>
      <c r="U128" s="36" t="s">
        <v>22</v>
      </c>
      <c r="V128" s="36" t="s">
        <v>23</v>
      </c>
      <c r="W128" s="36" t="s">
        <v>24</v>
      </c>
      <c r="X128" s="36" t="s">
        <v>25</v>
      </c>
      <c r="Y128" s="36" t="s">
        <v>26</v>
      </c>
      <c r="Z128" s="36" t="s">
        <v>27</v>
      </c>
      <c r="AA128" s="36" t="s">
        <v>28</v>
      </c>
      <c r="AB128" s="36" t="s">
        <v>29</v>
      </c>
      <c r="AC128" s="37" t="s">
        <v>30</v>
      </c>
      <c r="AD128" s="37" t="s">
        <v>31</v>
      </c>
      <c r="AE128" s="37" t="s">
        <v>32</v>
      </c>
      <c r="AF128" s="37" t="s">
        <v>33</v>
      </c>
      <c r="AG128" s="37" t="s">
        <v>34</v>
      </c>
      <c r="AH128" s="36" t="s">
        <v>35</v>
      </c>
      <c r="AI128" s="36" t="s">
        <v>36</v>
      </c>
      <c r="AJ128" s="36" t="s">
        <v>37</v>
      </c>
      <c r="AK128" s="36" t="s">
        <v>38</v>
      </c>
      <c r="AL128" s="36" t="s">
        <v>39</v>
      </c>
      <c r="AM128" s="38" t="s">
        <v>40</v>
      </c>
      <c r="AN128" s="36" t="s">
        <v>41</v>
      </c>
      <c r="AO128" s="36" t="s">
        <v>42</v>
      </c>
      <c r="AP128" s="36" t="s">
        <v>43</v>
      </c>
      <c r="AQ128" s="36" t="s">
        <v>44</v>
      </c>
      <c r="AR128" s="36" t="s">
        <v>45</v>
      </c>
      <c r="AS128" s="36" t="s">
        <v>46</v>
      </c>
      <c r="AT128" s="37" t="s">
        <v>47</v>
      </c>
      <c r="AU128" s="36" t="s">
        <v>48</v>
      </c>
      <c r="AV128" s="36" t="s">
        <v>49</v>
      </c>
      <c r="AW128" s="36" t="s">
        <v>50</v>
      </c>
      <c r="AX128" s="36" t="s">
        <v>51</v>
      </c>
      <c r="AY128" s="36" t="s">
        <v>52</v>
      </c>
      <c r="AZ128" s="37" t="s">
        <v>53</v>
      </c>
      <c r="BA128" s="36" t="s">
        <v>54</v>
      </c>
      <c r="BB128" s="36" t="s">
        <v>55</v>
      </c>
      <c r="BC128" s="36" t="s">
        <v>56</v>
      </c>
      <c r="BD128" s="36" t="s">
        <v>57</v>
      </c>
      <c r="BE128" s="36" t="s">
        <v>58</v>
      </c>
      <c r="BF128" s="36" t="s">
        <v>59</v>
      </c>
      <c r="BG128" s="36" t="s">
        <v>60</v>
      </c>
      <c r="BH128" s="36" t="s">
        <v>61</v>
      </c>
      <c r="BI128" s="36" t="s">
        <v>62</v>
      </c>
      <c r="BJ128" s="36" t="s">
        <v>63</v>
      </c>
      <c r="BK128" s="36" t="s">
        <v>64</v>
      </c>
      <c r="BL128" s="36" t="s">
        <v>65</v>
      </c>
      <c r="BM128" s="36" t="s">
        <v>66</v>
      </c>
      <c r="BN128" s="36" t="s">
        <v>67</v>
      </c>
      <c r="BO128" s="36" t="s">
        <v>68</v>
      </c>
      <c r="BP128" s="36" t="s">
        <v>69</v>
      </c>
      <c r="BQ128" s="36" t="s">
        <v>70</v>
      </c>
      <c r="BR128" s="36" t="s">
        <v>71</v>
      </c>
      <c r="BS128" s="36" t="s">
        <v>72</v>
      </c>
      <c r="BT128" s="36" t="s">
        <v>73</v>
      </c>
      <c r="BU128" s="36" t="s">
        <v>74</v>
      </c>
    </row>
    <row r="129" spans="1:73" s="2" customFormat="1" ht="15.5">
      <c r="A129" s="1" t="s">
        <v>75</v>
      </c>
      <c r="B129" s="2" t="s">
        <v>76</v>
      </c>
      <c r="C129" s="2" t="s">
        <v>77</v>
      </c>
      <c r="D129" s="2">
        <v>55</v>
      </c>
      <c r="E129" s="3" t="s">
        <v>241</v>
      </c>
      <c r="G129" s="2" t="s">
        <v>78</v>
      </c>
      <c r="H129" s="2" t="s">
        <v>79</v>
      </c>
      <c r="I129" s="2" t="s">
        <v>80</v>
      </c>
      <c r="J129" s="2" t="s">
        <v>81</v>
      </c>
      <c r="K129" s="4"/>
      <c r="L129" s="4"/>
      <c r="M129" s="5"/>
      <c r="N129" s="6"/>
      <c r="O129" s="4">
        <v>4999</v>
      </c>
      <c r="P129" s="4">
        <v>455</v>
      </c>
      <c r="Q129" s="7"/>
      <c r="R129" s="1">
        <f>P129*O129</f>
        <v>2274545</v>
      </c>
      <c r="S129" s="6">
        <v>1.23456E-2</v>
      </c>
      <c r="T129" s="1">
        <f>R129*S129</f>
        <v>28080.622751999999</v>
      </c>
      <c r="U129" s="8">
        <v>0</v>
      </c>
      <c r="V129" s="8">
        <v>0</v>
      </c>
      <c r="W129" s="1">
        <f>R129+AT129</f>
        <v>2274545</v>
      </c>
      <c r="X129" s="1">
        <f>W129*S129</f>
        <v>28080.622751999999</v>
      </c>
      <c r="Y129" s="2" t="s">
        <v>77</v>
      </c>
      <c r="Z129" s="2" t="s">
        <v>82</v>
      </c>
      <c r="AA129" s="2" t="s">
        <v>83</v>
      </c>
      <c r="AB129" s="2" t="s">
        <v>84</v>
      </c>
      <c r="AC129" s="4" t="s">
        <v>242</v>
      </c>
      <c r="AD129" s="9">
        <v>45627</v>
      </c>
      <c r="AE129" s="9">
        <v>45627</v>
      </c>
      <c r="AF129" s="9">
        <v>45627</v>
      </c>
      <c r="AG129" s="10">
        <v>45985</v>
      </c>
      <c r="AH129" s="2" t="s">
        <v>86</v>
      </c>
      <c r="AJ129" s="2">
        <v>1.23456E-2</v>
      </c>
      <c r="AK129" s="1"/>
      <c r="AM129" s="9"/>
      <c r="AN129" s="8">
        <v>0</v>
      </c>
      <c r="AO129" s="8">
        <v>0</v>
      </c>
      <c r="AR129" s="2" t="s">
        <v>88</v>
      </c>
      <c r="AS129" s="2" t="s">
        <v>78</v>
      </c>
      <c r="AT129" s="5"/>
      <c r="AU129" s="5"/>
      <c r="AV129" s="8">
        <v>8.4400000000000003E-2</v>
      </c>
      <c r="AW129" s="8">
        <v>0</v>
      </c>
      <c r="AX129" s="2" t="s">
        <v>89</v>
      </c>
      <c r="AY129" s="2" t="s">
        <v>78</v>
      </c>
      <c r="AZ129" s="4"/>
      <c r="BA129" s="4"/>
      <c r="BB129" s="8">
        <v>8.4400000000000003E-2</v>
      </c>
      <c r="BC129" s="2">
        <v>0</v>
      </c>
      <c r="BF129" s="8">
        <v>0</v>
      </c>
      <c r="BG129" s="8">
        <v>0</v>
      </c>
      <c r="BH129" s="8">
        <v>0</v>
      </c>
      <c r="BI129" s="8">
        <v>0</v>
      </c>
      <c r="BL129" s="8">
        <v>0</v>
      </c>
      <c r="BM129" s="8">
        <v>0</v>
      </c>
      <c r="BN129" s="8">
        <v>0</v>
      </c>
      <c r="BO129" s="8">
        <v>0</v>
      </c>
      <c r="BR129" s="8">
        <v>0</v>
      </c>
      <c r="BS129" s="8">
        <v>0</v>
      </c>
      <c r="BT129" s="8">
        <v>0</v>
      </c>
      <c r="BU129" s="8">
        <v>0</v>
      </c>
    </row>
    <row r="130" spans="1:73" s="43" customFormat="1">
      <c r="E130" s="44"/>
      <c r="K130" s="44"/>
      <c r="S130" s="44"/>
      <c r="AM130" s="45"/>
      <c r="AT130" s="46"/>
      <c r="AZ130" s="46"/>
    </row>
    <row r="134" spans="1:73">
      <c r="A134" s="11" t="s">
        <v>90</v>
      </c>
    </row>
    <row r="135" spans="1:73">
      <c r="A135" s="12" t="s">
        <v>91</v>
      </c>
      <c r="B135" s="12" t="s">
        <v>92</v>
      </c>
      <c r="C135" s="12" t="s">
        <v>93</v>
      </c>
      <c r="D135" s="12" t="s">
        <v>94</v>
      </c>
      <c r="E135" s="12" t="s">
        <v>95</v>
      </c>
      <c r="F135" s="12" t="s">
        <v>96</v>
      </c>
      <c r="G135" s="12" t="s">
        <v>97</v>
      </c>
      <c r="H135" s="12" t="s">
        <v>98</v>
      </c>
      <c r="I135" s="12" t="s">
        <v>99</v>
      </c>
      <c r="J135" s="12" t="s">
        <v>100</v>
      </c>
      <c r="K135" s="12" t="s">
        <v>101</v>
      </c>
      <c r="L135" s="12" t="s">
        <v>102</v>
      </c>
      <c r="M135" s="12" t="s">
        <v>103</v>
      </c>
      <c r="N135" s="12" t="s">
        <v>104</v>
      </c>
      <c r="O135" s="12" t="s">
        <v>105</v>
      </c>
      <c r="P135" s="12" t="s">
        <v>106</v>
      </c>
      <c r="Q135" s="12" t="s">
        <v>107</v>
      </c>
      <c r="R135" s="12" t="s">
        <v>108</v>
      </c>
      <c r="S135" s="12" t="s">
        <v>109</v>
      </c>
      <c r="T135" s="12" t="s">
        <v>110</v>
      </c>
      <c r="U135" s="12" t="s">
        <v>0</v>
      </c>
      <c r="V135" s="12" t="s">
        <v>111</v>
      </c>
      <c r="W135" s="12" t="s">
        <v>112</v>
      </c>
      <c r="X135" s="12" t="s">
        <v>113</v>
      </c>
      <c r="Y135" s="12" t="s">
        <v>114</v>
      </c>
      <c r="Z135" s="12" t="s">
        <v>115</v>
      </c>
      <c r="AA135" s="12" t="s">
        <v>116</v>
      </c>
      <c r="AB135" s="12" t="s">
        <v>117</v>
      </c>
      <c r="AC135" s="12" t="s">
        <v>118</v>
      </c>
      <c r="AD135" s="12" t="s">
        <v>119</v>
      </c>
    </row>
    <row r="136" spans="1:73">
      <c r="A136" t="s">
        <v>75</v>
      </c>
      <c r="B136" t="s">
        <v>120</v>
      </c>
      <c r="C136" t="s">
        <v>236</v>
      </c>
      <c r="D136" t="s">
        <v>236</v>
      </c>
      <c r="E136" t="s">
        <v>243</v>
      </c>
      <c r="F136" t="s">
        <v>244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124</v>
      </c>
      <c r="N136" t="s">
        <v>78</v>
      </c>
      <c r="O136" t="s">
        <v>135</v>
      </c>
      <c r="P136" s="13">
        <v>-2274545</v>
      </c>
      <c r="Q136" s="13">
        <v>-28080.62</v>
      </c>
      <c r="R136">
        <v>1.23456E-2</v>
      </c>
      <c r="S136" t="s">
        <v>128</v>
      </c>
      <c r="T136" t="s">
        <v>120</v>
      </c>
      <c r="U136" t="s">
        <v>215</v>
      </c>
      <c r="V136" t="s">
        <v>80</v>
      </c>
      <c r="W136" t="s">
        <v>242</v>
      </c>
      <c r="X136" t="s">
        <v>77</v>
      </c>
      <c r="Y136" t="s">
        <v>120</v>
      </c>
      <c r="Z136" t="s">
        <v>245</v>
      </c>
      <c r="AA136" t="s">
        <v>129</v>
      </c>
      <c r="AB136" t="s">
        <v>129</v>
      </c>
      <c r="AC136" t="s">
        <v>79</v>
      </c>
      <c r="AD136" t="s">
        <v>246</v>
      </c>
    </row>
    <row r="137" spans="1:73">
      <c r="A137" t="s">
        <v>75</v>
      </c>
      <c r="B137" t="s">
        <v>120</v>
      </c>
      <c r="C137" t="s">
        <v>236</v>
      </c>
      <c r="D137" t="s">
        <v>236</v>
      </c>
      <c r="E137" t="s">
        <v>247</v>
      </c>
      <c r="F137" t="s">
        <v>244</v>
      </c>
      <c r="G137" t="s">
        <v>121</v>
      </c>
      <c r="H137" t="s">
        <v>130</v>
      </c>
      <c r="I137" t="s">
        <v>131</v>
      </c>
      <c r="J137" t="s">
        <v>132</v>
      </c>
      <c r="K137" t="s">
        <v>133</v>
      </c>
      <c r="L137" t="s">
        <v>134</v>
      </c>
      <c r="M137" t="s">
        <v>132</v>
      </c>
      <c r="N137" t="s">
        <v>78</v>
      </c>
      <c r="O137" t="s">
        <v>127</v>
      </c>
      <c r="P137" s="13">
        <v>2274545</v>
      </c>
      <c r="Q137" s="13">
        <v>28080.62</v>
      </c>
      <c r="R137">
        <v>1.23456E-2</v>
      </c>
      <c r="S137" t="s">
        <v>128</v>
      </c>
      <c r="T137" t="s">
        <v>120</v>
      </c>
      <c r="U137" t="s">
        <v>215</v>
      </c>
      <c r="V137" t="s">
        <v>80</v>
      </c>
      <c r="W137" t="s">
        <v>242</v>
      </c>
      <c r="X137" t="s">
        <v>77</v>
      </c>
      <c r="Y137" t="s">
        <v>120</v>
      </c>
      <c r="Z137" t="s">
        <v>245</v>
      </c>
      <c r="AA137" t="s">
        <v>129</v>
      </c>
      <c r="AB137" t="s">
        <v>129</v>
      </c>
      <c r="AC137" t="s">
        <v>79</v>
      </c>
      <c r="AD137" t="s">
        <v>246</v>
      </c>
    </row>
    <row r="139" spans="1:73">
      <c r="P139" s="47">
        <f>O129*P129</f>
        <v>2274545</v>
      </c>
      <c r="Q139" s="47">
        <f>P139*R137</f>
        <v>28080.622751999999</v>
      </c>
    </row>
    <row r="140" spans="1:73">
      <c r="A140" s="11" t="s">
        <v>167</v>
      </c>
    </row>
    <row r="141" spans="1:73" ht="32" customHeight="1">
      <c r="A141" s="25" t="s">
        <v>91</v>
      </c>
      <c r="B141" s="25" t="s">
        <v>168</v>
      </c>
      <c r="C141" s="25" t="s">
        <v>169</v>
      </c>
      <c r="D141" s="25" t="s">
        <v>170</v>
      </c>
      <c r="E141" s="25" t="s">
        <v>94</v>
      </c>
      <c r="F141" s="25" t="s">
        <v>171</v>
      </c>
      <c r="G141" s="25" t="s">
        <v>172</v>
      </c>
      <c r="H141" s="25" t="s">
        <v>173</v>
      </c>
      <c r="I141" s="25" t="s">
        <v>0</v>
      </c>
      <c r="J141" s="25" t="s">
        <v>174</v>
      </c>
      <c r="K141" s="26" t="s">
        <v>145</v>
      </c>
      <c r="L141" s="25" t="s">
        <v>109</v>
      </c>
      <c r="M141" s="131" t="s">
        <v>175</v>
      </c>
      <c r="N141" s="131"/>
      <c r="O141" s="131" t="s">
        <v>158</v>
      </c>
      <c r="P141" s="131"/>
      <c r="Q141" s="131" t="s">
        <v>113</v>
      </c>
      <c r="R141" s="131"/>
      <c r="S141" s="131" t="s">
        <v>176</v>
      </c>
      <c r="T141" s="131"/>
      <c r="U141" s="25" t="s">
        <v>177</v>
      </c>
      <c r="V141" s="25" t="s">
        <v>178</v>
      </c>
      <c r="W141" s="25" t="s">
        <v>179</v>
      </c>
      <c r="X141" s="125" t="s">
        <v>143</v>
      </c>
      <c r="Y141" s="125"/>
      <c r="Z141" s="125" t="s">
        <v>180</v>
      </c>
      <c r="AA141" s="125"/>
      <c r="AB141" s="125" t="s">
        <v>181</v>
      </c>
      <c r="AC141" s="125"/>
      <c r="AD141" s="26" t="s">
        <v>182</v>
      </c>
      <c r="AE141" s="26" t="s">
        <v>183</v>
      </c>
      <c r="AF141" s="26" t="s">
        <v>184</v>
      </c>
      <c r="AG141" s="26" t="s">
        <v>185</v>
      </c>
      <c r="AH141" s="26" t="s">
        <v>186</v>
      </c>
      <c r="AI141" s="26" t="s">
        <v>187</v>
      </c>
      <c r="AJ141" s="26" t="s">
        <v>188</v>
      </c>
      <c r="AK141" s="26" t="s">
        <v>189</v>
      </c>
      <c r="AL141" s="26" t="s">
        <v>190</v>
      </c>
      <c r="AM141" s="26" t="s">
        <v>191</v>
      </c>
      <c r="AN141" s="26" t="s">
        <v>192</v>
      </c>
      <c r="AO141" s="27" t="s">
        <v>193</v>
      </c>
      <c r="AP141" s="33"/>
      <c r="AQ141" s="125" t="s">
        <v>194</v>
      </c>
      <c r="AR141" s="125"/>
      <c r="AS141" s="41" t="s">
        <v>195</v>
      </c>
    </row>
    <row r="142" spans="1:73" ht="15" customHeight="1">
      <c r="A142" s="126" t="s">
        <v>227</v>
      </c>
      <c r="B142" s="126"/>
      <c r="C142" s="126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126"/>
      <c r="AB142" s="126"/>
      <c r="AC142" s="126"/>
      <c r="AD142" s="126"/>
      <c r="AE142" s="126"/>
      <c r="AF142" s="126"/>
      <c r="AG142" s="126"/>
      <c r="AH142" s="126"/>
      <c r="AI142" s="126"/>
      <c r="AJ142" s="126"/>
      <c r="AK142" s="126"/>
      <c r="AL142" s="126"/>
      <c r="AM142" s="126"/>
      <c r="AN142" s="126"/>
      <c r="AO142" s="126"/>
      <c r="AP142" s="126"/>
      <c r="AQ142" s="126"/>
      <c r="AR142" s="126"/>
      <c r="AS142" s="126"/>
      <c r="AT142" s="126"/>
    </row>
    <row r="143" spans="1:73" ht="27" customHeight="1">
      <c r="A143" s="18" t="s">
        <v>75</v>
      </c>
      <c r="B143" s="18" t="s">
        <v>196</v>
      </c>
      <c r="C143" s="18" t="s">
        <v>197</v>
      </c>
      <c r="D143" s="18" t="s">
        <v>198</v>
      </c>
      <c r="E143" s="19">
        <v>45627</v>
      </c>
      <c r="F143" s="19">
        <v>45627</v>
      </c>
      <c r="G143" s="18" t="s">
        <v>244</v>
      </c>
      <c r="H143" s="18" t="s">
        <v>242</v>
      </c>
      <c r="I143" s="18" t="s">
        <v>215</v>
      </c>
      <c r="J143" s="18" t="s">
        <v>228</v>
      </c>
      <c r="K143" s="23">
        <v>455</v>
      </c>
      <c r="L143" s="28" t="s">
        <v>128</v>
      </c>
      <c r="N143" s="127" t="s">
        <v>199</v>
      </c>
      <c r="O143" s="127"/>
      <c r="P143" s="127" t="s">
        <v>82</v>
      </c>
      <c r="Q143" s="127"/>
      <c r="R143" s="127" t="s">
        <v>77</v>
      </c>
      <c r="S143" s="127"/>
      <c r="T143" s="128" t="s">
        <v>200</v>
      </c>
      <c r="U143" s="128"/>
      <c r="Y143" s="129">
        <v>4999</v>
      </c>
      <c r="Z143" s="129"/>
      <c r="AA143" s="130">
        <v>0</v>
      </c>
      <c r="AB143" s="130"/>
      <c r="AC143" s="23">
        <v>28080.62</v>
      </c>
      <c r="AD143" s="23" t="s">
        <v>201</v>
      </c>
      <c r="AE143" s="23">
        <v>0</v>
      </c>
      <c r="AF143" s="22">
        <v>0</v>
      </c>
      <c r="AG143" s="23">
        <v>0</v>
      </c>
      <c r="AH143" s="23">
        <v>0</v>
      </c>
      <c r="AI143" s="23">
        <v>0</v>
      </c>
      <c r="AJ143" s="23">
        <v>2274545</v>
      </c>
      <c r="AK143" s="23">
        <v>28080.62</v>
      </c>
      <c r="AL143" s="23">
        <v>2274545</v>
      </c>
      <c r="AM143" s="23">
        <v>28080.62</v>
      </c>
      <c r="AN143" s="23">
        <v>0</v>
      </c>
      <c r="AO143" s="23">
        <v>0</v>
      </c>
      <c r="AQ143" s="129">
        <v>0</v>
      </c>
      <c r="AR143" s="129"/>
      <c r="AS143" s="23">
        <v>0</v>
      </c>
    </row>
  </sheetData>
  <mergeCells count="39">
    <mergeCell ref="Z141:AA141"/>
    <mergeCell ref="AB141:AC141"/>
    <mergeCell ref="AQ141:AR141"/>
    <mergeCell ref="A142:AT142"/>
    <mergeCell ref="N143:O143"/>
    <mergeCell ref="P143:Q143"/>
    <mergeCell ref="R143:S143"/>
    <mergeCell ref="T143:U143"/>
    <mergeCell ref="Y143:Z143"/>
    <mergeCell ref="AA143:AB143"/>
    <mergeCell ref="AQ143:AR143"/>
    <mergeCell ref="M141:N141"/>
    <mergeCell ref="O141:P141"/>
    <mergeCell ref="Q141:R141"/>
    <mergeCell ref="S141:T141"/>
    <mergeCell ref="X141:Y141"/>
    <mergeCell ref="AB47:AC47"/>
    <mergeCell ref="AQ47:AR47"/>
    <mergeCell ref="A48:AT48"/>
    <mergeCell ref="N49:O49"/>
    <mergeCell ref="P49:Q49"/>
    <mergeCell ref="R49:S49"/>
    <mergeCell ref="T49:U49"/>
    <mergeCell ref="Y49:Z49"/>
    <mergeCell ref="AA49:AB49"/>
    <mergeCell ref="AQ49:AR49"/>
    <mergeCell ref="M47:N47"/>
    <mergeCell ref="O47:P47"/>
    <mergeCell ref="Q47:R47"/>
    <mergeCell ref="S47:T47"/>
    <mergeCell ref="X47:Y47"/>
    <mergeCell ref="Z47:AA47"/>
    <mergeCell ref="AQ50:AR50"/>
    <mergeCell ref="N50:O50"/>
    <mergeCell ref="P50:Q50"/>
    <mergeCell ref="R50:S50"/>
    <mergeCell ref="T50:U50"/>
    <mergeCell ref="Y50:Z50"/>
    <mergeCell ref="AA50:AB5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83FD0-0E25-4592-969A-07F3CB7B8656}">
  <dimension ref="A1:BU221"/>
  <sheetViews>
    <sheetView topLeftCell="H197" workbookViewId="0">
      <selection activeCell="Y197" sqref="Y197"/>
    </sheetView>
  </sheetViews>
  <sheetFormatPr defaultColWidth="8.90625" defaultRowHeight="14.5"/>
  <cols>
    <col min="1" max="1" width="11.6328125" style="50" customWidth="1"/>
    <col min="2" max="3" width="8.90625" style="50"/>
    <col min="4" max="4" width="11.453125" style="50" customWidth="1"/>
    <col min="5" max="5" width="18.453125" style="50" customWidth="1"/>
    <col min="6" max="7" width="8.90625" style="50"/>
    <col min="8" max="8" width="12.90625" style="50" customWidth="1"/>
    <col min="9" max="11" width="8.90625" style="50"/>
    <col min="12" max="12" width="12.453125" style="50" customWidth="1"/>
    <col min="13" max="13" width="11.36328125" style="50" customWidth="1"/>
    <col min="14" max="14" width="8.90625" style="50"/>
    <col min="15" max="15" width="14.6328125" style="50" customWidth="1"/>
    <col min="16" max="16" width="12.08984375" style="50" customWidth="1"/>
    <col min="17" max="17" width="8.90625" style="50"/>
    <col min="18" max="18" width="14" style="50" customWidth="1"/>
    <col min="19" max="19" width="8.90625" style="50"/>
    <col min="20" max="20" width="14.453125" style="50" customWidth="1"/>
    <col min="21" max="22" width="8.90625" style="50"/>
    <col min="23" max="23" width="15.7265625" style="50" customWidth="1"/>
    <col min="24" max="24" width="16.08984375" style="50" customWidth="1"/>
    <col min="25" max="25" width="12.08984375" style="50" customWidth="1"/>
    <col min="26" max="29" width="8.90625" style="50"/>
    <col min="30" max="30" width="10.7265625" style="50" customWidth="1"/>
    <col min="31" max="32" width="10.453125" style="50" customWidth="1"/>
    <col min="33" max="33" width="13.6328125" style="50" customWidth="1"/>
    <col min="34" max="34" width="8.90625" style="50"/>
    <col min="35" max="35" width="14.90625" style="50" customWidth="1"/>
    <col min="36" max="36" width="8.90625" style="50"/>
    <col min="37" max="37" width="18.26953125" style="50" customWidth="1"/>
    <col min="38" max="38" width="8.90625" style="50"/>
    <col min="39" max="39" width="14.26953125" style="50" customWidth="1"/>
    <col min="40" max="41" width="18.26953125" style="50" customWidth="1"/>
    <col min="42" max="43" width="8.90625" style="50"/>
    <col min="44" max="44" width="9.90625" style="50" customWidth="1"/>
    <col min="45" max="45" width="13.7265625" style="50" customWidth="1"/>
    <col min="46" max="47" width="13.453125" style="50" customWidth="1"/>
    <col min="48" max="51" width="8.90625" style="50"/>
    <col min="52" max="53" width="13.453125" style="50" customWidth="1"/>
    <col min="54" max="16384" width="8.90625" style="50"/>
  </cols>
  <sheetData>
    <row r="1" spans="1:73" s="107" customFormat="1">
      <c r="A1" s="108" t="s">
        <v>2</v>
      </c>
      <c r="B1" s="108" t="s">
        <v>3</v>
      </c>
      <c r="C1" s="108" t="s">
        <v>4</v>
      </c>
      <c r="D1" s="108" t="s">
        <v>5</v>
      </c>
      <c r="E1" s="111" t="s">
        <v>6</v>
      </c>
      <c r="F1" s="108" t="s">
        <v>7</v>
      </c>
      <c r="G1" s="108" t="s">
        <v>8</v>
      </c>
      <c r="H1" s="108" t="s">
        <v>9</v>
      </c>
      <c r="I1" s="108" t="s">
        <v>10</v>
      </c>
      <c r="J1" s="108" t="s">
        <v>11</v>
      </c>
      <c r="K1" s="108" t="s">
        <v>12</v>
      </c>
      <c r="L1" s="108" t="s">
        <v>13</v>
      </c>
      <c r="M1" s="108" t="s">
        <v>14</v>
      </c>
      <c r="N1" s="108" t="s">
        <v>15</v>
      </c>
      <c r="O1" s="111" t="s">
        <v>16</v>
      </c>
      <c r="P1" s="111" t="s">
        <v>17</v>
      </c>
      <c r="Q1" s="108" t="s">
        <v>18</v>
      </c>
      <c r="R1" s="108" t="s">
        <v>19</v>
      </c>
      <c r="S1" s="111" t="s">
        <v>20</v>
      </c>
      <c r="T1" s="108" t="s">
        <v>21</v>
      </c>
      <c r="U1" s="108" t="s">
        <v>22</v>
      </c>
      <c r="V1" s="108" t="s">
        <v>23</v>
      </c>
      <c r="W1" s="108" t="s">
        <v>24</v>
      </c>
      <c r="X1" s="108" t="s">
        <v>25</v>
      </c>
      <c r="Y1" s="108" t="s">
        <v>26</v>
      </c>
      <c r="Z1" s="108" t="s">
        <v>27</v>
      </c>
      <c r="AA1" s="108" t="s">
        <v>28</v>
      </c>
      <c r="AB1" s="108" t="s">
        <v>29</v>
      </c>
      <c r="AC1" s="111" t="s">
        <v>30</v>
      </c>
      <c r="AD1" s="111" t="s">
        <v>31</v>
      </c>
      <c r="AE1" s="111" t="s">
        <v>32</v>
      </c>
      <c r="AF1" s="111" t="s">
        <v>33</v>
      </c>
      <c r="AG1" s="111" t="s">
        <v>34</v>
      </c>
      <c r="AH1" s="108" t="s">
        <v>35</v>
      </c>
      <c r="AI1" s="108" t="s">
        <v>36</v>
      </c>
      <c r="AJ1" s="108" t="s">
        <v>37</v>
      </c>
      <c r="AK1" s="108" t="s">
        <v>38</v>
      </c>
      <c r="AL1" s="108" t="s">
        <v>39</v>
      </c>
      <c r="AM1" s="110" t="s">
        <v>40</v>
      </c>
      <c r="AN1" s="108" t="s">
        <v>41</v>
      </c>
      <c r="AO1" s="108" t="s">
        <v>42</v>
      </c>
      <c r="AP1" s="108" t="s">
        <v>43</v>
      </c>
      <c r="AQ1" s="108" t="s">
        <v>44</v>
      </c>
      <c r="AR1" s="109" t="s">
        <v>45</v>
      </c>
      <c r="AS1" s="108" t="s">
        <v>46</v>
      </c>
      <c r="AT1" s="109" t="s">
        <v>47</v>
      </c>
      <c r="AU1" s="108" t="s">
        <v>48</v>
      </c>
      <c r="AV1" s="108" t="s">
        <v>49</v>
      </c>
      <c r="AW1" s="108" t="s">
        <v>50</v>
      </c>
      <c r="AX1" s="109" t="s">
        <v>51</v>
      </c>
      <c r="AY1" s="108" t="s">
        <v>52</v>
      </c>
      <c r="AZ1" s="109" t="s">
        <v>53</v>
      </c>
      <c r="BA1" s="108" t="s">
        <v>54</v>
      </c>
      <c r="BB1" s="108" t="s">
        <v>55</v>
      </c>
      <c r="BC1" s="108" t="s">
        <v>56</v>
      </c>
      <c r="BD1" s="108" t="s">
        <v>57</v>
      </c>
      <c r="BE1" s="108" t="s">
        <v>58</v>
      </c>
      <c r="BF1" s="108" t="s">
        <v>59</v>
      </c>
      <c r="BG1" s="108" t="s">
        <v>60</v>
      </c>
      <c r="BH1" s="108" t="s">
        <v>61</v>
      </c>
      <c r="BI1" s="108" t="s">
        <v>62</v>
      </c>
      <c r="BJ1" s="108" t="s">
        <v>63</v>
      </c>
      <c r="BK1" s="108" t="s">
        <v>64</v>
      </c>
      <c r="BL1" s="108" t="s">
        <v>65</v>
      </c>
      <c r="BM1" s="108" t="s">
        <v>66</v>
      </c>
      <c r="BN1" s="108" t="s">
        <v>67</v>
      </c>
      <c r="BO1" s="108" t="s">
        <v>68</v>
      </c>
      <c r="BP1" s="108" t="s">
        <v>69</v>
      </c>
      <c r="BQ1" s="108" t="s">
        <v>70</v>
      </c>
      <c r="BR1" s="108" t="s">
        <v>71</v>
      </c>
      <c r="BS1" s="108" t="s">
        <v>72</v>
      </c>
      <c r="BT1" s="108" t="s">
        <v>73</v>
      </c>
      <c r="BU1" s="108" t="s">
        <v>74</v>
      </c>
    </row>
    <row r="2" spans="1:73" s="95" customFormat="1" ht="15" customHeight="1">
      <c r="A2" s="95" t="s">
        <v>254</v>
      </c>
      <c r="B2" s="95" t="s">
        <v>76</v>
      </c>
      <c r="C2" s="95" t="s">
        <v>77</v>
      </c>
      <c r="D2" s="95">
        <v>55</v>
      </c>
      <c r="E2" s="106" t="s">
        <v>251</v>
      </c>
      <c r="F2" s="95" t="s">
        <v>78</v>
      </c>
      <c r="G2" s="95" t="s">
        <v>78</v>
      </c>
      <c r="H2" s="95" t="s">
        <v>79</v>
      </c>
      <c r="I2" s="95" t="s">
        <v>80</v>
      </c>
      <c r="J2" s="98"/>
      <c r="K2" s="98"/>
      <c r="L2" s="98"/>
      <c r="M2" s="98"/>
      <c r="N2" s="105"/>
      <c r="O2" s="98">
        <v>2500</v>
      </c>
      <c r="P2" s="105">
        <v>125</v>
      </c>
      <c r="Q2" s="95">
        <v>0</v>
      </c>
      <c r="R2" s="103">
        <f>O2*P2</f>
        <v>312500</v>
      </c>
      <c r="S2" s="53">
        <v>85.381399999999999</v>
      </c>
      <c r="T2" s="103">
        <f>R2/S2</f>
        <v>3660.0477387346659</v>
      </c>
      <c r="U2" s="96">
        <v>0</v>
      </c>
      <c r="V2" s="96">
        <v>0</v>
      </c>
      <c r="W2" s="104">
        <f>O2*P2</f>
        <v>312500</v>
      </c>
      <c r="X2" s="103">
        <f>W2/S2</f>
        <v>3660.0477387346659</v>
      </c>
      <c r="Y2" s="95" t="s">
        <v>249</v>
      </c>
      <c r="Z2" s="95" t="s">
        <v>82</v>
      </c>
      <c r="AA2" s="95" t="s">
        <v>83</v>
      </c>
      <c r="AB2" s="95" t="s">
        <v>84</v>
      </c>
      <c r="AC2" s="98" t="s">
        <v>85</v>
      </c>
      <c r="AD2" s="100">
        <v>45632</v>
      </c>
      <c r="AE2" s="100">
        <v>45632</v>
      </c>
      <c r="AF2" s="100">
        <v>45632</v>
      </c>
      <c r="AG2" s="102">
        <v>45685</v>
      </c>
      <c r="AH2" s="95" t="s">
        <v>86</v>
      </c>
      <c r="AI2" s="95" t="s">
        <v>292</v>
      </c>
      <c r="AJ2" s="53">
        <v>85.381399999999999</v>
      </c>
      <c r="AK2" s="101">
        <f>W2/AJ2</f>
        <v>3660.0477387346659</v>
      </c>
      <c r="AM2" s="100">
        <v>45632</v>
      </c>
      <c r="AN2" s="96">
        <v>0</v>
      </c>
      <c r="AO2" s="96">
        <v>0</v>
      </c>
      <c r="AR2" s="99" t="s">
        <v>88</v>
      </c>
      <c r="AS2" s="95" t="s">
        <v>78</v>
      </c>
      <c r="AT2" s="98">
        <v>2500</v>
      </c>
      <c r="AU2" s="98">
        <v>2500</v>
      </c>
      <c r="AV2" s="53">
        <v>85.381399999999999</v>
      </c>
      <c r="AW2" s="96">
        <v>0</v>
      </c>
      <c r="AX2" s="99" t="s">
        <v>89</v>
      </c>
      <c r="AY2" s="95" t="s">
        <v>78</v>
      </c>
      <c r="AZ2" s="98">
        <v>2500</v>
      </c>
      <c r="BA2" s="98">
        <v>2500</v>
      </c>
      <c r="BB2" s="53">
        <v>85.381399999999999</v>
      </c>
      <c r="BC2" s="96">
        <v>0</v>
      </c>
      <c r="BD2" s="97"/>
      <c r="BE2" s="97"/>
      <c r="BF2" s="96">
        <v>0</v>
      </c>
      <c r="BG2" s="96">
        <v>0</v>
      </c>
      <c r="BH2" s="95">
        <v>0</v>
      </c>
      <c r="BI2" s="96">
        <v>0</v>
      </c>
      <c r="BJ2" s="97"/>
      <c r="BK2" s="97"/>
      <c r="BL2" s="96">
        <v>0</v>
      </c>
      <c r="BM2" s="96">
        <v>0</v>
      </c>
      <c r="BN2" s="95">
        <v>0</v>
      </c>
      <c r="BO2" s="96">
        <v>0</v>
      </c>
      <c r="BP2" s="97"/>
      <c r="BQ2" s="97"/>
      <c r="BR2" s="96">
        <v>0</v>
      </c>
      <c r="BS2" s="96">
        <v>0</v>
      </c>
      <c r="BT2" s="95">
        <v>0</v>
      </c>
      <c r="BU2" s="96">
        <v>0</v>
      </c>
    </row>
    <row r="3" spans="1:73" s="95" customFormat="1" ht="15" customHeight="1">
      <c r="A3" s="95" t="s">
        <v>254</v>
      </c>
      <c r="B3" s="95" t="s">
        <v>76</v>
      </c>
      <c r="C3" s="95" t="s">
        <v>77</v>
      </c>
      <c r="D3" s="95">
        <v>55</v>
      </c>
      <c r="E3" s="106" t="s">
        <v>251</v>
      </c>
      <c r="F3" s="95" t="s">
        <v>78</v>
      </c>
      <c r="G3" s="95" t="s">
        <v>78</v>
      </c>
      <c r="H3" s="95" t="s">
        <v>79</v>
      </c>
      <c r="I3" s="95" t="s">
        <v>80</v>
      </c>
      <c r="J3" s="98"/>
      <c r="K3" s="98"/>
      <c r="L3" s="98"/>
      <c r="M3" s="98"/>
      <c r="N3" s="105"/>
      <c r="O3" s="98">
        <v>1500</v>
      </c>
      <c r="P3" s="105">
        <v>125</v>
      </c>
      <c r="Q3" s="95">
        <v>0</v>
      </c>
      <c r="R3" s="103">
        <f>O3*P3</f>
        <v>187500</v>
      </c>
      <c r="S3" s="53">
        <v>85.381399999999999</v>
      </c>
      <c r="T3" s="103">
        <f>R3/S3</f>
        <v>2196.0286432407997</v>
      </c>
      <c r="U3" s="96">
        <v>0</v>
      </c>
      <c r="V3" s="96">
        <v>0</v>
      </c>
      <c r="W3" s="104">
        <f>O3*P3</f>
        <v>187500</v>
      </c>
      <c r="X3" s="103">
        <f>W3/S3</f>
        <v>2196.0286432407997</v>
      </c>
      <c r="Y3" s="95" t="s">
        <v>249</v>
      </c>
      <c r="Z3" s="95" t="s">
        <v>82</v>
      </c>
      <c r="AA3" s="95" t="s">
        <v>83</v>
      </c>
      <c r="AB3" s="95" t="s">
        <v>84</v>
      </c>
      <c r="AC3" s="98" t="s">
        <v>85</v>
      </c>
      <c r="AD3" s="100">
        <v>45632</v>
      </c>
      <c r="AE3" s="100">
        <v>45632</v>
      </c>
      <c r="AF3" s="100">
        <v>45633</v>
      </c>
      <c r="AG3" s="102">
        <v>45685</v>
      </c>
      <c r="AH3" s="95" t="s">
        <v>86</v>
      </c>
      <c r="AI3" s="95" t="s">
        <v>292</v>
      </c>
      <c r="AJ3" s="53">
        <v>85.381399999999999</v>
      </c>
      <c r="AK3" s="101">
        <f>W3/AJ3</f>
        <v>2196.0286432407997</v>
      </c>
      <c r="AM3" s="100">
        <v>45632</v>
      </c>
      <c r="AN3" s="96">
        <v>0</v>
      </c>
      <c r="AO3" s="96">
        <v>0</v>
      </c>
      <c r="AR3" s="99" t="s">
        <v>88</v>
      </c>
      <c r="AS3" s="95" t="s">
        <v>78</v>
      </c>
      <c r="AT3" s="98">
        <v>1500</v>
      </c>
      <c r="AU3" s="98">
        <v>1500</v>
      </c>
      <c r="AV3" s="53">
        <v>85.381399999999999</v>
      </c>
      <c r="AW3" s="96">
        <v>0</v>
      </c>
      <c r="AX3" s="99" t="s">
        <v>89</v>
      </c>
      <c r="AY3" s="95" t="s">
        <v>78</v>
      </c>
      <c r="AZ3" s="98">
        <v>1500</v>
      </c>
      <c r="BA3" s="98">
        <v>1500</v>
      </c>
      <c r="BB3" s="53">
        <v>85.381399999999999</v>
      </c>
      <c r="BC3" s="96">
        <v>0</v>
      </c>
      <c r="BD3" s="97"/>
      <c r="BE3" s="97"/>
      <c r="BF3" s="96">
        <v>0</v>
      </c>
      <c r="BG3" s="96">
        <v>0</v>
      </c>
      <c r="BH3" s="95">
        <v>0</v>
      </c>
      <c r="BI3" s="96">
        <v>0</v>
      </c>
      <c r="BJ3" s="97"/>
      <c r="BK3" s="97"/>
      <c r="BL3" s="96">
        <v>0</v>
      </c>
      <c r="BM3" s="96">
        <v>0</v>
      </c>
      <c r="BN3" s="95">
        <v>0</v>
      </c>
      <c r="BO3" s="96">
        <v>0</v>
      </c>
      <c r="BP3" s="97"/>
      <c r="BQ3" s="97"/>
      <c r="BR3" s="96">
        <v>0</v>
      </c>
      <c r="BS3" s="96">
        <v>0</v>
      </c>
      <c r="BT3" s="95">
        <v>0</v>
      </c>
      <c r="BU3" s="96">
        <v>0</v>
      </c>
    </row>
    <row r="5" spans="1:73">
      <c r="T5" s="103"/>
    </row>
    <row r="46" spans="1:32">
      <c r="A46" s="50" t="s">
        <v>300</v>
      </c>
    </row>
    <row r="48" spans="1:32" s="87" customFormat="1" ht="30" customHeight="1">
      <c r="A48" s="93" t="s">
        <v>137</v>
      </c>
      <c r="B48" s="138" t="s">
        <v>0</v>
      </c>
      <c r="C48" s="138"/>
      <c r="D48" s="93" t="s">
        <v>138</v>
      </c>
      <c r="E48" s="93" t="s">
        <v>139</v>
      </c>
      <c r="F48" s="93" t="s">
        <v>140</v>
      </c>
      <c r="G48" s="93" t="s">
        <v>141</v>
      </c>
      <c r="H48" s="93" t="s">
        <v>142</v>
      </c>
      <c r="I48" s="94" t="s">
        <v>143</v>
      </c>
      <c r="J48" s="94" t="s">
        <v>144</v>
      </c>
      <c r="K48" s="94" t="s">
        <v>145</v>
      </c>
      <c r="L48" s="94" t="s">
        <v>146</v>
      </c>
      <c r="M48" s="94" t="s">
        <v>147</v>
      </c>
      <c r="N48" s="94" t="s">
        <v>148</v>
      </c>
      <c r="O48" s="93" t="s">
        <v>149</v>
      </c>
      <c r="P48" s="94" t="s">
        <v>150</v>
      </c>
      <c r="Q48" s="94" t="s">
        <v>151</v>
      </c>
      <c r="R48" s="93" t="s">
        <v>152</v>
      </c>
      <c r="S48" s="93" t="s">
        <v>153</v>
      </c>
      <c r="T48" s="93" t="s">
        <v>154</v>
      </c>
      <c r="U48" s="93" t="s">
        <v>155</v>
      </c>
      <c r="V48" s="93" t="s">
        <v>156</v>
      </c>
      <c r="W48" s="93" t="s">
        <v>157</v>
      </c>
      <c r="X48" s="94" t="s">
        <v>158</v>
      </c>
      <c r="Y48" s="93" t="s">
        <v>159</v>
      </c>
      <c r="Z48" s="93" t="s">
        <v>160</v>
      </c>
      <c r="AA48" s="93" t="s">
        <v>161</v>
      </c>
      <c r="AB48" s="93" t="s">
        <v>162</v>
      </c>
      <c r="AC48" s="93" t="s">
        <v>163</v>
      </c>
      <c r="AD48" s="93" t="s">
        <v>164</v>
      </c>
      <c r="AE48" s="93" t="s">
        <v>165</v>
      </c>
      <c r="AF48" s="92" t="s">
        <v>166</v>
      </c>
    </row>
    <row r="49" spans="1:32" s="87" customFormat="1" ht="21.65" customHeight="1">
      <c r="B49" s="135" t="s">
        <v>251</v>
      </c>
      <c r="C49" s="135"/>
      <c r="D49" s="56" t="s">
        <v>250</v>
      </c>
      <c r="F49" s="56" t="s">
        <v>78</v>
      </c>
      <c r="H49" s="58">
        <v>45685</v>
      </c>
      <c r="I49" s="91">
        <v>4000</v>
      </c>
      <c r="J49" s="90">
        <v>127</v>
      </c>
      <c r="K49" s="55">
        <v>125</v>
      </c>
      <c r="L49" s="54">
        <v>508000</v>
      </c>
      <c r="M49" s="54">
        <v>5949.78</v>
      </c>
      <c r="N49" s="90">
        <v>127</v>
      </c>
      <c r="O49" s="54">
        <v>508000</v>
      </c>
      <c r="P49" s="54">
        <v>5949.77</v>
      </c>
      <c r="Q49" s="89">
        <v>3.9673159186988098E-2</v>
      </c>
      <c r="R49" s="54">
        <v>0</v>
      </c>
      <c r="S49" s="54">
        <v>0</v>
      </c>
      <c r="T49" s="54">
        <v>0</v>
      </c>
      <c r="U49" s="54">
        <v>0</v>
      </c>
      <c r="V49" s="54">
        <v>5949.78</v>
      </c>
      <c r="W49" s="54">
        <v>0</v>
      </c>
      <c r="Y49" s="54">
        <v>0</v>
      </c>
      <c r="Z49" s="54">
        <v>0</v>
      </c>
      <c r="AA49" s="54">
        <v>0</v>
      </c>
      <c r="AB49" s="54">
        <v>0</v>
      </c>
      <c r="AC49" s="54">
        <v>0</v>
      </c>
      <c r="AD49" s="54">
        <v>0</v>
      </c>
      <c r="AE49" s="54">
        <v>0</v>
      </c>
    </row>
    <row r="50" spans="1:32">
      <c r="L50" s="86">
        <f>I49*J49</f>
        <v>508000</v>
      </c>
      <c r="M50" s="52">
        <f>L49/R61</f>
        <v>5949.7736040870732</v>
      </c>
      <c r="O50" s="86">
        <f>I49*J49</f>
        <v>508000</v>
      </c>
      <c r="P50" s="52">
        <f>O49/R61</f>
        <v>5949.7736040870732</v>
      </c>
      <c r="Y50" s="52"/>
      <c r="Z50" s="52"/>
    </row>
    <row r="51" spans="1:32">
      <c r="A51" s="50" t="s">
        <v>290</v>
      </c>
    </row>
    <row r="53" spans="1:32" s="53" customFormat="1" ht="25" customHeight="1">
      <c r="A53" s="85" t="s">
        <v>289</v>
      </c>
      <c r="B53" s="85" t="s">
        <v>288</v>
      </c>
      <c r="C53" s="85" t="s">
        <v>287</v>
      </c>
      <c r="D53" s="84" t="s">
        <v>286</v>
      </c>
      <c r="E53" s="84" t="s">
        <v>285</v>
      </c>
      <c r="F53" s="84" t="s">
        <v>284</v>
      </c>
      <c r="G53" s="85" t="s">
        <v>283</v>
      </c>
      <c r="H53" s="85" t="s">
        <v>282</v>
      </c>
      <c r="I53" s="85" t="s">
        <v>281</v>
      </c>
      <c r="J53" s="85" t="s">
        <v>280</v>
      </c>
      <c r="K53" s="85" t="s">
        <v>142</v>
      </c>
      <c r="L53" s="85" t="s">
        <v>279</v>
      </c>
      <c r="M53" s="84" t="s">
        <v>278</v>
      </c>
      <c r="N53" s="84" t="s">
        <v>144</v>
      </c>
      <c r="O53" s="84" t="s">
        <v>277</v>
      </c>
      <c r="P53" s="84" t="s">
        <v>276</v>
      </c>
      <c r="Q53" s="84" t="s">
        <v>275</v>
      </c>
      <c r="R53" s="84" t="s">
        <v>148</v>
      </c>
      <c r="S53" s="84" t="s">
        <v>274</v>
      </c>
      <c r="T53" s="84" t="s">
        <v>273</v>
      </c>
      <c r="U53" s="84" t="s">
        <v>151</v>
      </c>
      <c r="V53" s="84" t="s">
        <v>272</v>
      </c>
      <c r="W53" s="84" t="s">
        <v>271</v>
      </c>
      <c r="X53" s="84" t="s">
        <v>270</v>
      </c>
      <c r="Y53" s="84" t="s">
        <v>269</v>
      </c>
      <c r="Z53" s="84" t="s">
        <v>268</v>
      </c>
      <c r="AA53" s="84" t="s">
        <v>157</v>
      </c>
      <c r="AB53" s="84" t="s">
        <v>267</v>
      </c>
      <c r="AC53" s="84" t="s">
        <v>266</v>
      </c>
      <c r="AD53" s="84" t="s">
        <v>265</v>
      </c>
      <c r="AE53" s="84" t="s">
        <v>264</v>
      </c>
      <c r="AF53" s="84" t="s">
        <v>263</v>
      </c>
    </row>
    <row r="54" spans="1:32" s="53" customFormat="1" ht="20.149999999999999" customHeight="1">
      <c r="A54" s="81" t="s">
        <v>251</v>
      </c>
      <c r="B54" s="81" t="s">
        <v>78</v>
      </c>
      <c r="C54" s="81" t="s">
        <v>250</v>
      </c>
      <c r="D54" s="83" t="s">
        <v>78</v>
      </c>
      <c r="E54" s="83" t="s">
        <v>76</v>
      </c>
      <c r="F54" s="82">
        <v>144223</v>
      </c>
      <c r="G54" s="81" t="s">
        <v>262</v>
      </c>
      <c r="H54" s="80">
        <v>45632</v>
      </c>
      <c r="I54" s="80">
        <v>45632</v>
      </c>
      <c r="J54" s="81" t="s">
        <v>322</v>
      </c>
      <c r="K54" s="80">
        <v>45685</v>
      </c>
      <c r="L54" s="80">
        <v>45685</v>
      </c>
      <c r="M54" s="79">
        <v>2500</v>
      </c>
      <c r="N54" s="78">
        <v>127</v>
      </c>
      <c r="O54" s="76">
        <v>317500</v>
      </c>
      <c r="P54" s="76">
        <v>3718.61</v>
      </c>
      <c r="Q54" s="76">
        <v>3718.6085025544198</v>
      </c>
      <c r="R54" s="78">
        <v>127</v>
      </c>
      <c r="S54" s="76">
        <v>317500</v>
      </c>
      <c r="T54" s="76">
        <v>3718.61</v>
      </c>
      <c r="U54" s="77">
        <v>2.47957494969261E-2</v>
      </c>
      <c r="V54" s="76">
        <v>0</v>
      </c>
      <c r="W54" s="76">
        <v>0</v>
      </c>
      <c r="X54" s="76">
        <v>0</v>
      </c>
      <c r="Y54" s="76">
        <v>0</v>
      </c>
      <c r="Z54" s="76">
        <v>317500</v>
      </c>
      <c r="AA54" s="76">
        <v>0</v>
      </c>
      <c r="AB54" s="76">
        <v>0</v>
      </c>
      <c r="AC54" s="76">
        <v>0</v>
      </c>
      <c r="AD54" s="76">
        <v>0</v>
      </c>
      <c r="AE54" s="76">
        <v>0</v>
      </c>
      <c r="AF54" s="76">
        <v>85.381399999999999</v>
      </c>
    </row>
    <row r="55" spans="1:32" s="53" customFormat="1" ht="20.149999999999999" customHeight="1">
      <c r="A55" s="73" t="s">
        <v>251</v>
      </c>
      <c r="B55" s="73" t="s">
        <v>78</v>
      </c>
      <c r="C55" s="73" t="s">
        <v>250</v>
      </c>
      <c r="D55" s="75" t="s">
        <v>78</v>
      </c>
      <c r="E55" s="75" t="s">
        <v>76</v>
      </c>
      <c r="F55" s="74">
        <v>144224</v>
      </c>
      <c r="G55" s="73" t="s">
        <v>261</v>
      </c>
      <c r="H55" s="72">
        <v>45632</v>
      </c>
      <c r="I55" s="72">
        <v>45633</v>
      </c>
      <c r="J55" s="73" t="s">
        <v>322</v>
      </c>
      <c r="K55" s="72">
        <v>45685</v>
      </c>
      <c r="L55" s="72">
        <v>45685</v>
      </c>
      <c r="M55" s="71">
        <v>1500</v>
      </c>
      <c r="N55" s="70">
        <v>127</v>
      </c>
      <c r="O55" s="68">
        <v>190500</v>
      </c>
      <c r="P55" s="68">
        <v>2231.17</v>
      </c>
      <c r="Q55" s="68">
        <v>2231.1651015326502</v>
      </c>
      <c r="R55" s="70">
        <v>127</v>
      </c>
      <c r="S55" s="68">
        <v>190500</v>
      </c>
      <c r="T55" s="68">
        <v>2231.17</v>
      </c>
      <c r="U55" s="69">
        <v>1.4877476370217999E-2</v>
      </c>
      <c r="V55" s="68">
        <v>0</v>
      </c>
      <c r="W55" s="68">
        <v>0</v>
      </c>
      <c r="X55" s="68">
        <v>0</v>
      </c>
      <c r="Y55" s="68">
        <v>0</v>
      </c>
      <c r="Z55" s="68">
        <v>190500</v>
      </c>
      <c r="AA55" s="68">
        <v>0</v>
      </c>
      <c r="AB55" s="68">
        <v>0</v>
      </c>
      <c r="AC55" s="68">
        <v>0</v>
      </c>
      <c r="AD55" s="68">
        <v>0</v>
      </c>
      <c r="AE55" s="68">
        <v>0</v>
      </c>
      <c r="AF55" s="68">
        <v>85.381399999999999</v>
      </c>
    </row>
    <row r="58" spans="1:32">
      <c r="A58" s="50" t="s">
        <v>90</v>
      </c>
    </row>
    <row r="60" spans="1:32" s="53" customFormat="1">
      <c r="A60" s="67" t="s">
        <v>91</v>
      </c>
      <c r="B60" s="67" t="s">
        <v>92</v>
      </c>
      <c r="C60" s="67" t="s">
        <v>93</v>
      </c>
      <c r="D60" s="67" t="s">
        <v>94</v>
      </c>
      <c r="E60" s="67" t="s">
        <v>95</v>
      </c>
      <c r="F60" s="67" t="s">
        <v>96</v>
      </c>
      <c r="G60" s="67" t="s">
        <v>97</v>
      </c>
      <c r="H60" s="67" t="s">
        <v>98</v>
      </c>
      <c r="I60" s="67" t="s">
        <v>99</v>
      </c>
      <c r="J60" s="67" t="s">
        <v>100</v>
      </c>
      <c r="K60" s="67" t="s">
        <v>101</v>
      </c>
      <c r="L60" s="67" t="s">
        <v>102</v>
      </c>
      <c r="M60" s="67" t="s">
        <v>103</v>
      </c>
      <c r="N60" s="67" t="s">
        <v>104</v>
      </c>
      <c r="O60" s="67" t="s">
        <v>105</v>
      </c>
      <c r="P60" s="67" t="s">
        <v>106</v>
      </c>
      <c r="Q60" s="67" t="s">
        <v>107</v>
      </c>
      <c r="R60" s="67" t="s">
        <v>108</v>
      </c>
      <c r="S60" s="67" t="s">
        <v>109</v>
      </c>
      <c r="T60" s="67" t="s">
        <v>110</v>
      </c>
      <c r="U60" s="67" t="s">
        <v>0</v>
      </c>
      <c r="V60" s="67" t="s">
        <v>111</v>
      </c>
      <c r="W60" s="67" t="s">
        <v>112</v>
      </c>
      <c r="X60" s="67" t="s">
        <v>113</v>
      </c>
      <c r="Y60" s="67" t="s">
        <v>114</v>
      </c>
      <c r="Z60" s="67" t="s">
        <v>115</v>
      </c>
      <c r="AA60" s="67" t="s">
        <v>116</v>
      </c>
      <c r="AB60" s="67" t="s">
        <v>117</v>
      </c>
      <c r="AC60" s="67" t="s">
        <v>118</v>
      </c>
      <c r="AD60" s="67" t="s">
        <v>119</v>
      </c>
    </row>
    <row r="61" spans="1:32" s="53" customFormat="1">
      <c r="A61" s="53" t="s">
        <v>254</v>
      </c>
      <c r="B61" s="53" t="s">
        <v>120</v>
      </c>
      <c r="C61" s="53" t="s">
        <v>313</v>
      </c>
      <c r="D61" s="53" t="s">
        <v>313</v>
      </c>
      <c r="E61" s="53" t="s">
        <v>318</v>
      </c>
      <c r="F61" s="53" t="s">
        <v>261</v>
      </c>
      <c r="G61" s="53" t="s">
        <v>121</v>
      </c>
      <c r="H61" s="53" t="s">
        <v>122</v>
      </c>
      <c r="I61" s="53" t="s">
        <v>123</v>
      </c>
      <c r="J61" s="53" t="s">
        <v>124</v>
      </c>
      <c r="K61" s="53" t="s">
        <v>125</v>
      </c>
      <c r="L61" s="53" t="s">
        <v>126</v>
      </c>
      <c r="M61" s="53" t="s">
        <v>124</v>
      </c>
      <c r="N61" s="53" t="s">
        <v>78</v>
      </c>
      <c r="O61" s="53" t="s">
        <v>127</v>
      </c>
      <c r="P61" s="66">
        <v>190500</v>
      </c>
      <c r="Q61" s="66">
        <v>2231.17</v>
      </c>
      <c r="R61" s="53">
        <v>85.381399999999999</v>
      </c>
      <c r="S61" s="53" t="s">
        <v>128</v>
      </c>
      <c r="T61" s="65">
        <f>P61/R61</f>
        <v>2231.1651015326524</v>
      </c>
      <c r="U61" s="53" t="s">
        <v>251</v>
      </c>
      <c r="V61" s="53" t="s">
        <v>80</v>
      </c>
      <c r="W61" s="53" t="s">
        <v>85</v>
      </c>
      <c r="X61" s="53" t="s">
        <v>249</v>
      </c>
      <c r="Y61" s="53" t="s">
        <v>120</v>
      </c>
      <c r="Z61" s="53" t="s">
        <v>316</v>
      </c>
      <c r="AA61" s="53" t="s">
        <v>129</v>
      </c>
      <c r="AB61" s="53" t="s">
        <v>129</v>
      </c>
      <c r="AC61" s="53" t="s">
        <v>79</v>
      </c>
      <c r="AD61" s="53" t="s">
        <v>315</v>
      </c>
    </row>
    <row r="62" spans="1:32" s="53" customFormat="1">
      <c r="A62" s="53" t="s">
        <v>254</v>
      </c>
      <c r="B62" s="53" t="s">
        <v>120</v>
      </c>
      <c r="C62" s="53" t="s">
        <v>313</v>
      </c>
      <c r="D62" s="53" t="s">
        <v>313</v>
      </c>
      <c r="E62" s="53" t="s">
        <v>317</v>
      </c>
      <c r="F62" s="53" t="s">
        <v>261</v>
      </c>
      <c r="G62" s="53" t="s">
        <v>121</v>
      </c>
      <c r="H62" s="53" t="s">
        <v>130</v>
      </c>
      <c r="I62" s="53" t="s">
        <v>131</v>
      </c>
      <c r="J62" s="53" t="s">
        <v>132</v>
      </c>
      <c r="K62" s="53" t="s">
        <v>133</v>
      </c>
      <c r="L62" s="53" t="s">
        <v>134</v>
      </c>
      <c r="M62" s="53" t="s">
        <v>132</v>
      </c>
      <c r="N62" s="53" t="s">
        <v>78</v>
      </c>
      <c r="O62" s="53" t="s">
        <v>135</v>
      </c>
      <c r="P62" s="66">
        <v>-190500</v>
      </c>
      <c r="Q62" s="66">
        <v>-2231.17</v>
      </c>
      <c r="R62" s="53">
        <v>85.381399999999999</v>
      </c>
      <c r="S62" s="53" t="s">
        <v>128</v>
      </c>
      <c r="T62" s="65">
        <f>P62/R62</f>
        <v>-2231.1651015326524</v>
      </c>
      <c r="U62" s="53" t="s">
        <v>251</v>
      </c>
      <c r="V62" s="53" t="s">
        <v>80</v>
      </c>
      <c r="W62" s="53" t="s">
        <v>85</v>
      </c>
      <c r="X62" s="53" t="s">
        <v>249</v>
      </c>
      <c r="Y62" s="53" t="s">
        <v>120</v>
      </c>
      <c r="Z62" s="53" t="s">
        <v>316</v>
      </c>
      <c r="AA62" s="53" t="s">
        <v>129</v>
      </c>
      <c r="AB62" s="53" t="s">
        <v>129</v>
      </c>
      <c r="AC62" s="53" t="s">
        <v>79</v>
      </c>
      <c r="AD62" s="53" t="s">
        <v>315</v>
      </c>
    </row>
    <row r="63" spans="1:32" s="53" customFormat="1">
      <c r="A63" s="53" t="s">
        <v>254</v>
      </c>
      <c r="B63" s="53" t="s">
        <v>120</v>
      </c>
      <c r="C63" s="53" t="s">
        <v>313</v>
      </c>
      <c r="D63" s="53" t="s">
        <v>313</v>
      </c>
      <c r="E63" s="53" t="s">
        <v>314</v>
      </c>
      <c r="F63" s="53" t="s">
        <v>262</v>
      </c>
      <c r="G63" s="53" t="s">
        <v>121</v>
      </c>
      <c r="H63" s="53" t="s">
        <v>122</v>
      </c>
      <c r="I63" s="53" t="s">
        <v>123</v>
      </c>
      <c r="J63" s="53" t="s">
        <v>124</v>
      </c>
      <c r="K63" s="53" t="s">
        <v>125</v>
      </c>
      <c r="L63" s="53" t="s">
        <v>126</v>
      </c>
      <c r="M63" s="53" t="s">
        <v>124</v>
      </c>
      <c r="N63" s="53" t="s">
        <v>78</v>
      </c>
      <c r="O63" s="53" t="s">
        <v>127</v>
      </c>
      <c r="P63" s="66">
        <v>317500</v>
      </c>
      <c r="Q63" s="66">
        <v>3718.61</v>
      </c>
      <c r="R63" s="53">
        <v>85.381399999999999</v>
      </c>
      <c r="S63" s="53" t="s">
        <v>128</v>
      </c>
      <c r="T63" s="65">
        <f>P63/R63</f>
        <v>3718.6085025544207</v>
      </c>
      <c r="U63" s="53" t="s">
        <v>251</v>
      </c>
      <c r="V63" s="53" t="s">
        <v>80</v>
      </c>
      <c r="W63" s="53" t="s">
        <v>85</v>
      </c>
      <c r="X63" s="53" t="s">
        <v>249</v>
      </c>
      <c r="Y63" s="53" t="s">
        <v>120</v>
      </c>
      <c r="Z63" s="53" t="s">
        <v>311</v>
      </c>
      <c r="AA63" s="53" t="s">
        <v>129</v>
      </c>
      <c r="AB63" s="53" t="s">
        <v>129</v>
      </c>
      <c r="AC63" s="53" t="s">
        <v>79</v>
      </c>
      <c r="AD63" s="53" t="s">
        <v>310</v>
      </c>
    </row>
    <row r="64" spans="1:32" s="53" customFormat="1">
      <c r="A64" s="53" t="s">
        <v>254</v>
      </c>
      <c r="B64" s="53" t="s">
        <v>120</v>
      </c>
      <c r="C64" s="53" t="s">
        <v>313</v>
      </c>
      <c r="D64" s="53" t="s">
        <v>313</v>
      </c>
      <c r="E64" s="53" t="s">
        <v>312</v>
      </c>
      <c r="F64" s="53" t="s">
        <v>262</v>
      </c>
      <c r="G64" s="53" t="s">
        <v>121</v>
      </c>
      <c r="H64" s="53" t="s">
        <v>130</v>
      </c>
      <c r="I64" s="53" t="s">
        <v>131</v>
      </c>
      <c r="J64" s="53" t="s">
        <v>132</v>
      </c>
      <c r="K64" s="53" t="s">
        <v>133</v>
      </c>
      <c r="L64" s="53" t="s">
        <v>134</v>
      </c>
      <c r="M64" s="53" t="s">
        <v>132</v>
      </c>
      <c r="N64" s="53" t="s">
        <v>78</v>
      </c>
      <c r="O64" s="53" t="s">
        <v>135</v>
      </c>
      <c r="P64" s="66">
        <v>-317500</v>
      </c>
      <c r="Q64" s="66">
        <v>-3718.61</v>
      </c>
      <c r="R64" s="53">
        <v>85.381399999999999</v>
      </c>
      <c r="S64" s="53" t="s">
        <v>128</v>
      </c>
      <c r="T64" s="65">
        <f>P64/R64</f>
        <v>-3718.6085025544207</v>
      </c>
      <c r="U64" s="53" t="s">
        <v>251</v>
      </c>
      <c r="V64" s="53" t="s">
        <v>80</v>
      </c>
      <c r="W64" s="53" t="s">
        <v>85</v>
      </c>
      <c r="X64" s="53" t="s">
        <v>249</v>
      </c>
      <c r="Y64" s="53" t="s">
        <v>120</v>
      </c>
      <c r="Z64" s="53" t="s">
        <v>311</v>
      </c>
      <c r="AA64" s="53" t="s">
        <v>129</v>
      </c>
      <c r="AB64" s="53" t="s">
        <v>129</v>
      </c>
      <c r="AC64" s="53" t="s">
        <v>79</v>
      </c>
      <c r="AD64" s="53" t="s">
        <v>310</v>
      </c>
    </row>
    <row r="66" spans="1:46">
      <c r="P66" s="86">
        <f>M54*N54</f>
        <v>317500</v>
      </c>
    </row>
    <row r="67" spans="1:46">
      <c r="P67" s="86">
        <f>M55*N55</f>
        <v>190500</v>
      </c>
    </row>
    <row r="68" spans="1:46">
      <c r="A68" s="50" t="s">
        <v>167</v>
      </c>
    </row>
    <row r="70" spans="1:46" s="53" customFormat="1" ht="32.15" customHeight="1">
      <c r="A70" s="63" t="s">
        <v>91</v>
      </c>
      <c r="B70" s="63" t="s">
        <v>168</v>
      </c>
      <c r="C70" s="63" t="s">
        <v>169</v>
      </c>
      <c r="D70" s="63" t="s">
        <v>170</v>
      </c>
      <c r="E70" s="63" t="s">
        <v>94</v>
      </c>
      <c r="F70" s="63" t="s">
        <v>171</v>
      </c>
      <c r="G70" s="63" t="s">
        <v>172</v>
      </c>
      <c r="H70" s="63" t="s">
        <v>173</v>
      </c>
      <c r="I70" s="63" t="s">
        <v>0</v>
      </c>
      <c r="J70" s="63" t="s">
        <v>174</v>
      </c>
      <c r="K70" s="60" t="s">
        <v>145</v>
      </c>
      <c r="L70" s="63" t="s">
        <v>109</v>
      </c>
      <c r="M70" s="139" t="s">
        <v>175</v>
      </c>
      <c r="N70" s="139"/>
      <c r="O70" s="139" t="s">
        <v>158</v>
      </c>
      <c r="P70" s="139"/>
      <c r="Q70" s="139" t="s">
        <v>113</v>
      </c>
      <c r="R70" s="139"/>
      <c r="S70" s="139" t="s">
        <v>176</v>
      </c>
      <c r="T70" s="139"/>
      <c r="U70" s="63" t="s">
        <v>177</v>
      </c>
      <c r="V70" s="63" t="s">
        <v>178</v>
      </c>
      <c r="W70" s="63" t="s">
        <v>179</v>
      </c>
      <c r="X70" s="132" t="s">
        <v>143</v>
      </c>
      <c r="Y70" s="132"/>
      <c r="Z70" s="132" t="s">
        <v>180</v>
      </c>
      <c r="AA70" s="132"/>
      <c r="AB70" s="132" t="s">
        <v>181</v>
      </c>
      <c r="AC70" s="132"/>
      <c r="AD70" s="60" t="s">
        <v>182</v>
      </c>
      <c r="AE70" s="60" t="s">
        <v>183</v>
      </c>
      <c r="AF70" s="60" t="s">
        <v>184</v>
      </c>
      <c r="AG70" s="60" t="s">
        <v>185</v>
      </c>
      <c r="AH70" s="60" t="s">
        <v>186</v>
      </c>
      <c r="AI70" s="60" t="s">
        <v>187</v>
      </c>
      <c r="AJ70" s="60" t="s">
        <v>188</v>
      </c>
      <c r="AK70" s="60" t="s">
        <v>189</v>
      </c>
      <c r="AL70" s="60" t="s">
        <v>190</v>
      </c>
      <c r="AM70" s="60" t="s">
        <v>191</v>
      </c>
      <c r="AN70" s="60" t="s">
        <v>192</v>
      </c>
      <c r="AO70" s="62" t="s">
        <v>193</v>
      </c>
      <c r="AP70" s="61"/>
      <c r="AQ70" s="132" t="s">
        <v>194</v>
      </c>
      <c r="AR70" s="132"/>
      <c r="AS70" s="59" t="s">
        <v>195</v>
      </c>
    </row>
    <row r="71" spans="1:46" s="53" customFormat="1" ht="15" customHeight="1">
      <c r="A71" s="133" t="s">
        <v>227</v>
      </c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  <c r="AA71" s="133"/>
      <c r="AB71" s="133"/>
      <c r="AC71" s="133"/>
      <c r="AD71" s="133"/>
      <c r="AE71" s="133"/>
      <c r="AF71" s="133"/>
      <c r="AG71" s="133"/>
      <c r="AH71" s="133"/>
      <c r="AI71" s="133"/>
      <c r="AJ71" s="133"/>
      <c r="AK71" s="133"/>
      <c r="AL71" s="133"/>
      <c r="AM71" s="133"/>
      <c r="AN71" s="133"/>
      <c r="AO71" s="133"/>
      <c r="AP71" s="133"/>
      <c r="AQ71" s="133"/>
      <c r="AR71" s="133"/>
      <c r="AS71" s="133"/>
      <c r="AT71" s="133"/>
    </row>
    <row r="72" spans="1:46" s="53" customFormat="1" ht="27" customHeight="1">
      <c r="A72" s="56" t="s">
        <v>254</v>
      </c>
      <c r="B72" s="56" t="s">
        <v>253</v>
      </c>
      <c r="C72" s="56" t="s">
        <v>197</v>
      </c>
      <c r="D72" s="56" t="s">
        <v>198</v>
      </c>
      <c r="E72" s="58">
        <v>45632</v>
      </c>
      <c r="F72" s="58">
        <v>45633</v>
      </c>
      <c r="G72" s="56" t="s">
        <v>261</v>
      </c>
      <c r="H72" s="56" t="s">
        <v>85</v>
      </c>
      <c r="I72" s="56" t="s">
        <v>251</v>
      </c>
      <c r="J72" s="56" t="s">
        <v>250</v>
      </c>
      <c r="K72" s="54">
        <v>125</v>
      </c>
      <c r="L72" s="57" t="s">
        <v>128</v>
      </c>
      <c r="N72" s="134" t="s">
        <v>199</v>
      </c>
      <c r="O72" s="134"/>
      <c r="P72" s="134" t="s">
        <v>82</v>
      </c>
      <c r="Q72" s="134"/>
      <c r="R72" s="134" t="s">
        <v>249</v>
      </c>
      <c r="S72" s="134"/>
      <c r="T72" s="135" t="s">
        <v>248</v>
      </c>
      <c r="U72" s="135"/>
      <c r="Y72" s="136">
        <v>1500</v>
      </c>
      <c r="Z72" s="136"/>
      <c r="AA72" s="137">
        <v>0</v>
      </c>
      <c r="AB72" s="137"/>
      <c r="AC72" s="54">
        <v>2196.0300000000002</v>
      </c>
      <c r="AD72" s="54" t="s">
        <v>201</v>
      </c>
      <c r="AE72" s="54">
        <v>17.57</v>
      </c>
      <c r="AF72" s="55">
        <v>0.80008014462461796</v>
      </c>
      <c r="AG72" s="54">
        <v>17.57</v>
      </c>
      <c r="AH72" s="54">
        <v>0</v>
      </c>
      <c r="AI72" s="54">
        <v>0</v>
      </c>
      <c r="AJ72" s="54">
        <v>190500</v>
      </c>
      <c r="AK72" s="54">
        <v>2231.17</v>
      </c>
      <c r="AL72" s="54">
        <v>190500</v>
      </c>
      <c r="AM72" s="54">
        <v>2231.17</v>
      </c>
      <c r="AN72" s="54">
        <v>0</v>
      </c>
      <c r="AO72" s="54">
        <v>0</v>
      </c>
      <c r="AQ72" s="136">
        <v>0</v>
      </c>
      <c r="AR72" s="136"/>
      <c r="AS72" s="54">
        <v>0</v>
      </c>
    </row>
    <row r="73" spans="1:46" s="53" customFormat="1" ht="27" customHeight="1">
      <c r="A73" s="118" t="s">
        <v>254</v>
      </c>
      <c r="B73" s="118" t="s">
        <v>253</v>
      </c>
      <c r="C73" s="118" t="s">
        <v>197</v>
      </c>
      <c r="D73" s="118" t="s">
        <v>198</v>
      </c>
      <c r="E73" s="120">
        <v>45632</v>
      </c>
      <c r="F73" s="120">
        <v>45632</v>
      </c>
      <c r="G73" s="118" t="s">
        <v>262</v>
      </c>
      <c r="H73" s="118" t="s">
        <v>85</v>
      </c>
      <c r="I73" s="118" t="s">
        <v>251</v>
      </c>
      <c r="J73" s="118" t="s">
        <v>250</v>
      </c>
      <c r="K73" s="116">
        <v>125</v>
      </c>
      <c r="L73" s="119" t="s">
        <v>128</v>
      </c>
      <c r="M73" s="61"/>
      <c r="N73" s="140" t="s">
        <v>199</v>
      </c>
      <c r="O73" s="140"/>
      <c r="P73" s="140" t="s">
        <v>82</v>
      </c>
      <c r="Q73" s="140"/>
      <c r="R73" s="140" t="s">
        <v>249</v>
      </c>
      <c r="S73" s="140"/>
      <c r="T73" s="141" t="s">
        <v>248</v>
      </c>
      <c r="U73" s="141"/>
      <c r="V73" s="61"/>
      <c r="W73" s="61"/>
      <c r="X73" s="61"/>
      <c r="Y73" s="142">
        <v>2500</v>
      </c>
      <c r="Z73" s="142"/>
      <c r="AA73" s="143">
        <v>0</v>
      </c>
      <c r="AB73" s="143"/>
      <c r="AC73" s="116">
        <v>3660.05</v>
      </c>
      <c r="AD73" s="116" t="s">
        <v>201</v>
      </c>
      <c r="AE73" s="116">
        <v>29.28</v>
      </c>
      <c r="AF73" s="117">
        <v>0.79998907118755203</v>
      </c>
      <c r="AG73" s="116">
        <v>29.28</v>
      </c>
      <c r="AH73" s="116">
        <v>0</v>
      </c>
      <c r="AI73" s="116">
        <v>0</v>
      </c>
      <c r="AJ73" s="116">
        <v>317500</v>
      </c>
      <c r="AK73" s="116">
        <v>3718.61</v>
      </c>
      <c r="AL73" s="116">
        <v>317500</v>
      </c>
      <c r="AM73" s="116">
        <v>3718.61</v>
      </c>
      <c r="AN73" s="116">
        <v>0</v>
      </c>
      <c r="AO73" s="116">
        <v>0</v>
      </c>
      <c r="AP73" s="61"/>
      <c r="AQ73" s="142">
        <v>0</v>
      </c>
      <c r="AR73" s="142"/>
      <c r="AS73" s="116">
        <v>0</v>
      </c>
      <c r="AT73" s="61"/>
    </row>
    <row r="75" spans="1:46">
      <c r="A75" s="50" t="s">
        <v>309</v>
      </c>
    </row>
    <row r="77" spans="1:46">
      <c r="A77" s="115" t="s">
        <v>308</v>
      </c>
      <c r="B77" s="115" t="s">
        <v>307</v>
      </c>
      <c r="C77" s="115" t="s">
        <v>306</v>
      </c>
      <c r="D77" s="115" t="s">
        <v>305</v>
      </c>
      <c r="E77" s="115" t="s">
        <v>304</v>
      </c>
      <c r="F77" s="115" t="s">
        <v>303</v>
      </c>
      <c r="G77" s="115" t="s">
        <v>302</v>
      </c>
    </row>
    <row r="78" spans="1:46" ht="25" customHeight="1">
      <c r="A78" s="114" t="s">
        <v>251</v>
      </c>
      <c r="C78" s="114" t="s">
        <v>250</v>
      </c>
      <c r="D78" s="113">
        <v>45632</v>
      </c>
      <c r="E78" s="50" t="s">
        <v>82</v>
      </c>
      <c r="F78" s="50">
        <v>200</v>
      </c>
    </row>
    <row r="92" spans="1:32">
      <c r="A92" s="50" t="s">
        <v>301</v>
      </c>
    </row>
    <row r="94" spans="1:32">
      <c r="A94" s="50" t="s">
        <v>300</v>
      </c>
    </row>
    <row r="96" spans="1:32" s="87" customFormat="1" ht="30" customHeight="1">
      <c r="A96" s="93" t="s">
        <v>137</v>
      </c>
      <c r="B96" s="138" t="s">
        <v>0</v>
      </c>
      <c r="C96" s="138"/>
      <c r="D96" s="93" t="s">
        <v>138</v>
      </c>
      <c r="E96" s="93" t="s">
        <v>139</v>
      </c>
      <c r="F96" s="93" t="s">
        <v>140</v>
      </c>
      <c r="G96" s="93" t="s">
        <v>141</v>
      </c>
      <c r="H96" s="93" t="s">
        <v>142</v>
      </c>
      <c r="I96" s="94" t="s">
        <v>143</v>
      </c>
      <c r="J96" s="94" t="s">
        <v>144</v>
      </c>
      <c r="K96" s="94" t="s">
        <v>145</v>
      </c>
      <c r="L96" s="94" t="s">
        <v>146</v>
      </c>
      <c r="M96" s="94" t="s">
        <v>147</v>
      </c>
      <c r="N96" s="94" t="s">
        <v>148</v>
      </c>
      <c r="O96" s="93" t="s">
        <v>149</v>
      </c>
      <c r="P96" s="94" t="s">
        <v>150</v>
      </c>
      <c r="Q96" s="94" t="s">
        <v>151</v>
      </c>
      <c r="R96" s="93" t="s">
        <v>152</v>
      </c>
      <c r="S96" s="93" t="s">
        <v>153</v>
      </c>
      <c r="T96" s="93" t="s">
        <v>154</v>
      </c>
      <c r="U96" s="93" t="s">
        <v>155</v>
      </c>
      <c r="V96" s="93" t="s">
        <v>156</v>
      </c>
      <c r="W96" s="93" t="s">
        <v>157</v>
      </c>
      <c r="X96" s="94" t="s">
        <v>158</v>
      </c>
      <c r="Y96" s="93" t="s">
        <v>159</v>
      </c>
      <c r="Z96" s="93" t="s">
        <v>160</v>
      </c>
      <c r="AA96" s="93" t="s">
        <v>161</v>
      </c>
      <c r="AB96" s="93" t="s">
        <v>162</v>
      </c>
      <c r="AC96" s="93" t="s">
        <v>163</v>
      </c>
      <c r="AD96" s="93" t="s">
        <v>164</v>
      </c>
      <c r="AE96" s="93" t="s">
        <v>165</v>
      </c>
      <c r="AF96" s="92" t="s">
        <v>166</v>
      </c>
    </row>
    <row r="97" spans="1:32" s="87" customFormat="1" ht="21.65" customHeight="1">
      <c r="B97" s="135" t="s">
        <v>251</v>
      </c>
      <c r="C97" s="135"/>
      <c r="D97" s="56" t="s">
        <v>250</v>
      </c>
      <c r="F97" s="56" t="s">
        <v>78</v>
      </c>
      <c r="H97" s="58">
        <v>45685</v>
      </c>
      <c r="I97" s="91">
        <v>4000</v>
      </c>
      <c r="J97" s="90">
        <v>127</v>
      </c>
      <c r="K97" s="55">
        <v>125</v>
      </c>
      <c r="L97" s="54">
        <v>508000</v>
      </c>
      <c r="M97" s="54">
        <v>5949.78</v>
      </c>
      <c r="N97" s="90">
        <v>200</v>
      </c>
      <c r="O97" s="54">
        <v>800000</v>
      </c>
      <c r="P97" s="54">
        <v>9369.7199999999993</v>
      </c>
      <c r="Q97" s="89">
        <v>6.2450416669834301E-2</v>
      </c>
      <c r="R97" s="54">
        <v>0</v>
      </c>
      <c r="S97" s="54">
        <v>0</v>
      </c>
      <c r="T97" s="54">
        <v>0</v>
      </c>
      <c r="U97" s="54">
        <v>0</v>
      </c>
      <c r="V97" s="54">
        <v>5949.78</v>
      </c>
      <c r="W97" s="54">
        <v>0</v>
      </c>
      <c r="X97" s="55">
        <v>85.381399999999999</v>
      </c>
      <c r="Y97" s="54">
        <v>292000</v>
      </c>
      <c r="Z97" s="54">
        <v>3419.95</v>
      </c>
      <c r="AA97" s="54">
        <v>0</v>
      </c>
      <c r="AB97" s="54">
        <v>0</v>
      </c>
      <c r="AC97" s="54">
        <v>0</v>
      </c>
      <c r="AD97" s="54">
        <v>292000</v>
      </c>
      <c r="AE97" s="54">
        <v>3419.95</v>
      </c>
      <c r="AF97" s="88">
        <v>45632</v>
      </c>
    </row>
    <row r="98" spans="1:32">
      <c r="O98" s="86">
        <f>I97*N97</f>
        <v>800000</v>
      </c>
      <c r="P98" s="52">
        <f>O97/R102</f>
        <v>9369.7222111607443</v>
      </c>
      <c r="Y98" s="52">
        <f>O97-L97</f>
        <v>292000</v>
      </c>
      <c r="Z98" s="52">
        <f>P97-M97</f>
        <v>3419.9399999999996</v>
      </c>
      <c r="AC98" s="52"/>
      <c r="AD98" s="52">
        <f>O97-L97</f>
        <v>292000</v>
      </c>
      <c r="AE98" s="52">
        <f>AD97/R102</f>
        <v>3419.9486070736716</v>
      </c>
    </row>
    <row r="99" spans="1:32">
      <c r="A99" s="50" t="s">
        <v>90</v>
      </c>
    </row>
    <row r="101" spans="1:32" s="53" customFormat="1">
      <c r="A101" s="67" t="s">
        <v>91</v>
      </c>
      <c r="B101" s="67" t="s">
        <v>92</v>
      </c>
      <c r="C101" s="67" t="s">
        <v>93</v>
      </c>
      <c r="D101" s="67" t="s">
        <v>94</v>
      </c>
      <c r="E101" s="67" t="s">
        <v>95</v>
      </c>
      <c r="F101" s="67" t="s">
        <v>96</v>
      </c>
      <c r="G101" s="67" t="s">
        <v>97</v>
      </c>
      <c r="H101" s="67" t="s">
        <v>98</v>
      </c>
      <c r="I101" s="67" t="s">
        <v>99</v>
      </c>
      <c r="J101" s="67" t="s">
        <v>100</v>
      </c>
      <c r="K101" s="67" t="s">
        <v>101</v>
      </c>
      <c r="L101" s="67" t="s">
        <v>102</v>
      </c>
      <c r="M101" s="67" t="s">
        <v>103</v>
      </c>
      <c r="N101" s="67" t="s">
        <v>104</v>
      </c>
      <c r="O101" s="67" t="s">
        <v>105</v>
      </c>
      <c r="P101" s="67" t="s">
        <v>106</v>
      </c>
      <c r="Q101" s="67" t="s">
        <v>107</v>
      </c>
      <c r="R101" s="67" t="s">
        <v>108</v>
      </c>
      <c r="S101" s="67" t="s">
        <v>109</v>
      </c>
      <c r="T101" s="67" t="s">
        <v>110</v>
      </c>
      <c r="U101" s="67" t="s">
        <v>0</v>
      </c>
      <c r="V101" s="67" t="s">
        <v>111</v>
      </c>
      <c r="W101" s="67" t="s">
        <v>112</v>
      </c>
      <c r="X101" s="67" t="s">
        <v>113</v>
      </c>
      <c r="Y101" s="67" t="s">
        <v>114</v>
      </c>
      <c r="Z101" s="67" t="s">
        <v>115</v>
      </c>
      <c r="AA101" s="67" t="s">
        <v>116</v>
      </c>
      <c r="AB101" s="67" t="s">
        <v>117</v>
      </c>
      <c r="AC101" s="67" t="s">
        <v>118</v>
      </c>
      <c r="AD101" s="67" t="s">
        <v>119</v>
      </c>
    </row>
    <row r="102" spans="1:32" s="53" customFormat="1">
      <c r="A102" s="53" t="s">
        <v>254</v>
      </c>
      <c r="B102" s="53" t="s">
        <v>120</v>
      </c>
      <c r="C102" s="53" t="s">
        <v>313</v>
      </c>
      <c r="D102" s="53" t="s">
        <v>313</v>
      </c>
      <c r="E102" s="53" t="s">
        <v>321</v>
      </c>
      <c r="F102" s="53" t="s">
        <v>319</v>
      </c>
      <c r="G102" s="53" t="s">
        <v>203</v>
      </c>
      <c r="H102" s="53" t="s">
        <v>204</v>
      </c>
      <c r="I102" s="53" t="s">
        <v>205</v>
      </c>
      <c r="J102" s="53" t="s">
        <v>206</v>
      </c>
      <c r="K102" s="53" t="s">
        <v>207</v>
      </c>
      <c r="L102" s="53" t="s">
        <v>208</v>
      </c>
      <c r="M102" s="53" t="s">
        <v>206</v>
      </c>
      <c r="N102" s="53" t="s">
        <v>78</v>
      </c>
      <c r="O102" s="53" t="s">
        <v>127</v>
      </c>
      <c r="P102" s="66">
        <v>292000</v>
      </c>
      <c r="Q102" s="66">
        <v>3419.95</v>
      </c>
      <c r="R102" s="53">
        <v>85.381399999999999</v>
      </c>
      <c r="S102" s="53" t="s">
        <v>128</v>
      </c>
      <c r="T102" s="53" t="s">
        <v>120</v>
      </c>
      <c r="U102" s="53" t="s">
        <v>251</v>
      </c>
      <c r="V102" s="53" t="s">
        <v>80</v>
      </c>
      <c r="W102" s="53" t="s">
        <v>209</v>
      </c>
      <c r="X102" s="53" t="s">
        <v>120</v>
      </c>
      <c r="Y102" s="53" t="s">
        <v>120</v>
      </c>
      <c r="Z102" s="53" t="s">
        <v>297</v>
      </c>
      <c r="AA102" s="53" t="s">
        <v>129</v>
      </c>
      <c r="AB102" s="53" t="s">
        <v>210</v>
      </c>
      <c r="AC102" s="53" t="s">
        <v>79</v>
      </c>
      <c r="AD102" s="53" t="s">
        <v>319</v>
      </c>
    </row>
    <row r="103" spans="1:32" s="53" customFormat="1">
      <c r="A103" s="53" t="s">
        <v>254</v>
      </c>
      <c r="B103" s="53" t="s">
        <v>120</v>
      </c>
      <c r="C103" s="53" t="s">
        <v>313</v>
      </c>
      <c r="D103" s="53" t="s">
        <v>313</v>
      </c>
      <c r="E103" s="53" t="s">
        <v>320</v>
      </c>
      <c r="F103" s="53" t="s">
        <v>319</v>
      </c>
      <c r="G103" s="53" t="s">
        <v>203</v>
      </c>
      <c r="H103" s="53" t="s">
        <v>130</v>
      </c>
      <c r="I103" s="53" t="s">
        <v>211</v>
      </c>
      <c r="J103" s="53" t="s">
        <v>212</v>
      </c>
      <c r="K103" s="53" t="s">
        <v>213</v>
      </c>
      <c r="L103" s="53" t="s">
        <v>214</v>
      </c>
      <c r="M103" s="53" t="s">
        <v>212</v>
      </c>
      <c r="N103" s="53" t="s">
        <v>78</v>
      </c>
      <c r="O103" s="53" t="s">
        <v>135</v>
      </c>
      <c r="P103" s="66">
        <v>-292000</v>
      </c>
      <c r="Q103" s="66">
        <v>-3419.95</v>
      </c>
      <c r="R103" s="53">
        <v>85.381399999999999</v>
      </c>
      <c r="S103" s="53" t="s">
        <v>128</v>
      </c>
      <c r="T103" s="53" t="s">
        <v>120</v>
      </c>
      <c r="U103" s="53" t="s">
        <v>251</v>
      </c>
      <c r="V103" s="53" t="s">
        <v>80</v>
      </c>
      <c r="W103" s="53" t="s">
        <v>209</v>
      </c>
      <c r="X103" s="53" t="s">
        <v>120</v>
      </c>
      <c r="Y103" s="53" t="s">
        <v>120</v>
      </c>
      <c r="Z103" s="53" t="s">
        <v>297</v>
      </c>
      <c r="AA103" s="53" t="s">
        <v>129</v>
      </c>
      <c r="AB103" s="53" t="s">
        <v>210</v>
      </c>
      <c r="AC103" s="53" t="s">
        <v>79</v>
      </c>
      <c r="AD103" s="53" t="s">
        <v>319</v>
      </c>
    </row>
    <row r="104" spans="1:32" s="53" customFormat="1">
      <c r="A104" s="53" t="s">
        <v>254</v>
      </c>
      <c r="B104" s="53" t="s">
        <v>120</v>
      </c>
      <c r="C104" s="53" t="s">
        <v>313</v>
      </c>
      <c r="D104" s="53" t="s">
        <v>313</v>
      </c>
      <c r="E104" s="53" t="s">
        <v>318</v>
      </c>
      <c r="F104" s="53" t="s">
        <v>261</v>
      </c>
      <c r="G104" s="53" t="s">
        <v>121</v>
      </c>
      <c r="H104" s="53" t="s">
        <v>122</v>
      </c>
      <c r="I104" s="53" t="s">
        <v>123</v>
      </c>
      <c r="J104" s="53" t="s">
        <v>124</v>
      </c>
      <c r="K104" s="53" t="s">
        <v>125</v>
      </c>
      <c r="L104" s="53" t="s">
        <v>126</v>
      </c>
      <c r="M104" s="53" t="s">
        <v>124</v>
      </c>
      <c r="N104" s="53" t="s">
        <v>78</v>
      </c>
      <c r="O104" s="53" t="s">
        <v>127</v>
      </c>
      <c r="P104" s="66">
        <v>190500</v>
      </c>
      <c r="Q104" s="66">
        <v>2231.17</v>
      </c>
      <c r="R104" s="53">
        <v>85.381399999999999</v>
      </c>
      <c r="S104" s="53" t="s">
        <v>128</v>
      </c>
      <c r="T104" s="53" t="s">
        <v>120</v>
      </c>
      <c r="U104" s="53" t="s">
        <v>251</v>
      </c>
      <c r="V104" s="53" t="s">
        <v>80</v>
      </c>
      <c r="W104" s="53" t="s">
        <v>85</v>
      </c>
      <c r="X104" s="53" t="s">
        <v>249</v>
      </c>
      <c r="Y104" s="53" t="s">
        <v>120</v>
      </c>
      <c r="Z104" s="53" t="s">
        <v>316</v>
      </c>
      <c r="AA104" s="53" t="s">
        <v>129</v>
      </c>
      <c r="AB104" s="53" t="s">
        <v>129</v>
      </c>
      <c r="AC104" s="53" t="s">
        <v>79</v>
      </c>
      <c r="AD104" s="53" t="s">
        <v>315</v>
      </c>
    </row>
    <row r="105" spans="1:32" s="53" customFormat="1">
      <c r="A105" s="53" t="s">
        <v>254</v>
      </c>
      <c r="B105" s="53" t="s">
        <v>120</v>
      </c>
      <c r="C105" s="53" t="s">
        <v>313</v>
      </c>
      <c r="D105" s="53" t="s">
        <v>313</v>
      </c>
      <c r="E105" s="53" t="s">
        <v>317</v>
      </c>
      <c r="F105" s="53" t="s">
        <v>261</v>
      </c>
      <c r="G105" s="53" t="s">
        <v>121</v>
      </c>
      <c r="H105" s="53" t="s">
        <v>130</v>
      </c>
      <c r="I105" s="53" t="s">
        <v>131</v>
      </c>
      <c r="J105" s="53" t="s">
        <v>132</v>
      </c>
      <c r="K105" s="53" t="s">
        <v>133</v>
      </c>
      <c r="L105" s="53" t="s">
        <v>134</v>
      </c>
      <c r="M105" s="53" t="s">
        <v>132</v>
      </c>
      <c r="N105" s="53" t="s">
        <v>78</v>
      </c>
      <c r="O105" s="53" t="s">
        <v>135</v>
      </c>
      <c r="P105" s="66">
        <v>-190500</v>
      </c>
      <c r="Q105" s="66">
        <v>-2231.17</v>
      </c>
      <c r="R105" s="53">
        <v>85.381399999999999</v>
      </c>
      <c r="S105" s="53" t="s">
        <v>128</v>
      </c>
      <c r="T105" s="53" t="s">
        <v>120</v>
      </c>
      <c r="U105" s="53" t="s">
        <v>251</v>
      </c>
      <c r="V105" s="53" t="s">
        <v>80</v>
      </c>
      <c r="W105" s="53" t="s">
        <v>85</v>
      </c>
      <c r="X105" s="53" t="s">
        <v>249</v>
      </c>
      <c r="Y105" s="53" t="s">
        <v>120</v>
      </c>
      <c r="Z105" s="53" t="s">
        <v>316</v>
      </c>
      <c r="AA105" s="53" t="s">
        <v>129</v>
      </c>
      <c r="AB105" s="53" t="s">
        <v>129</v>
      </c>
      <c r="AC105" s="53" t="s">
        <v>79</v>
      </c>
      <c r="AD105" s="53" t="s">
        <v>315</v>
      </c>
    </row>
    <row r="106" spans="1:32" s="53" customFormat="1">
      <c r="A106" s="53" t="s">
        <v>254</v>
      </c>
      <c r="B106" s="53" t="s">
        <v>120</v>
      </c>
      <c r="C106" s="53" t="s">
        <v>313</v>
      </c>
      <c r="D106" s="53" t="s">
        <v>313</v>
      </c>
      <c r="E106" s="53" t="s">
        <v>314</v>
      </c>
      <c r="F106" s="53" t="s">
        <v>262</v>
      </c>
      <c r="G106" s="53" t="s">
        <v>121</v>
      </c>
      <c r="H106" s="53" t="s">
        <v>122</v>
      </c>
      <c r="I106" s="53" t="s">
        <v>123</v>
      </c>
      <c r="J106" s="53" t="s">
        <v>124</v>
      </c>
      <c r="K106" s="53" t="s">
        <v>125</v>
      </c>
      <c r="L106" s="53" t="s">
        <v>126</v>
      </c>
      <c r="M106" s="53" t="s">
        <v>124</v>
      </c>
      <c r="N106" s="53" t="s">
        <v>78</v>
      </c>
      <c r="O106" s="53" t="s">
        <v>127</v>
      </c>
      <c r="P106" s="66">
        <v>317500</v>
      </c>
      <c r="Q106" s="66">
        <v>3718.61</v>
      </c>
      <c r="R106" s="53">
        <v>85.381399999999999</v>
      </c>
      <c r="S106" s="53" t="s">
        <v>128</v>
      </c>
      <c r="T106" s="53" t="s">
        <v>120</v>
      </c>
      <c r="U106" s="53" t="s">
        <v>251</v>
      </c>
      <c r="V106" s="53" t="s">
        <v>80</v>
      </c>
      <c r="W106" s="53" t="s">
        <v>85</v>
      </c>
      <c r="X106" s="53" t="s">
        <v>249</v>
      </c>
      <c r="Y106" s="53" t="s">
        <v>120</v>
      </c>
      <c r="Z106" s="53" t="s">
        <v>311</v>
      </c>
      <c r="AA106" s="53" t="s">
        <v>129</v>
      </c>
      <c r="AB106" s="53" t="s">
        <v>129</v>
      </c>
      <c r="AC106" s="53" t="s">
        <v>79</v>
      </c>
      <c r="AD106" s="53" t="s">
        <v>310</v>
      </c>
    </row>
    <row r="107" spans="1:32" s="53" customFormat="1">
      <c r="A107" s="53" t="s">
        <v>254</v>
      </c>
      <c r="B107" s="53" t="s">
        <v>120</v>
      </c>
      <c r="C107" s="53" t="s">
        <v>313</v>
      </c>
      <c r="D107" s="53" t="s">
        <v>313</v>
      </c>
      <c r="E107" s="53" t="s">
        <v>312</v>
      </c>
      <c r="F107" s="53" t="s">
        <v>262</v>
      </c>
      <c r="G107" s="53" t="s">
        <v>121</v>
      </c>
      <c r="H107" s="53" t="s">
        <v>130</v>
      </c>
      <c r="I107" s="53" t="s">
        <v>131</v>
      </c>
      <c r="J107" s="53" t="s">
        <v>132</v>
      </c>
      <c r="K107" s="53" t="s">
        <v>133</v>
      </c>
      <c r="L107" s="53" t="s">
        <v>134</v>
      </c>
      <c r="M107" s="53" t="s">
        <v>132</v>
      </c>
      <c r="N107" s="53" t="s">
        <v>78</v>
      </c>
      <c r="O107" s="53" t="s">
        <v>135</v>
      </c>
      <c r="P107" s="66">
        <v>-317500</v>
      </c>
      <c r="Q107" s="66">
        <v>-3718.61</v>
      </c>
      <c r="R107" s="53">
        <v>85.381399999999999</v>
      </c>
      <c r="S107" s="53" t="s">
        <v>128</v>
      </c>
      <c r="T107" s="53" t="s">
        <v>120</v>
      </c>
      <c r="U107" s="53" t="s">
        <v>251</v>
      </c>
      <c r="V107" s="53" t="s">
        <v>80</v>
      </c>
      <c r="W107" s="53" t="s">
        <v>85</v>
      </c>
      <c r="X107" s="53" t="s">
        <v>249</v>
      </c>
      <c r="Y107" s="53" t="s">
        <v>120</v>
      </c>
      <c r="Z107" s="53" t="s">
        <v>311</v>
      </c>
      <c r="AA107" s="53" t="s">
        <v>129</v>
      </c>
      <c r="AB107" s="53" t="s">
        <v>129</v>
      </c>
      <c r="AC107" s="53" t="s">
        <v>79</v>
      </c>
      <c r="AD107" s="53" t="s">
        <v>310</v>
      </c>
    </row>
    <row r="109" spans="1:32" ht="21">
      <c r="P109" s="93" t="s">
        <v>164</v>
      </c>
      <c r="Q109" s="93" t="s">
        <v>165</v>
      </c>
    </row>
    <row r="110" spans="1:32">
      <c r="P110" s="54">
        <v>292000</v>
      </c>
      <c r="Q110" s="54">
        <v>3419.95</v>
      </c>
    </row>
    <row r="112" spans="1:32">
      <c r="A112" s="50" t="s">
        <v>234</v>
      </c>
    </row>
    <row r="114" spans="1:7">
      <c r="A114" s="50" t="s">
        <v>309</v>
      </c>
    </row>
    <row r="116" spans="1:7" ht="26.15" customHeight="1">
      <c r="A116" s="115" t="s">
        <v>308</v>
      </c>
      <c r="B116" s="115" t="s">
        <v>307</v>
      </c>
      <c r="C116" s="115" t="s">
        <v>306</v>
      </c>
      <c r="D116" s="115" t="s">
        <v>305</v>
      </c>
      <c r="E116" s="115" t="s">
        <v>304</v>
      </c>
      <c r="F116" s="115" t="s">
        <v>303</v>
      </c>
      <c r="G116" s="115" t="s">
        <v>302</v>
      </c>
    </row>
    <row r="117" spans="1:7" ht="26.15" customHeight="1">
      <c r="A117" s="114" t="s">
        <v>251</v>
      </c>
      <c r="C117" s="114" t="s">
        <v>250</v>
      </c>
      <c r="D117" s="113">
        <v>45633</v>
      </c>
      <c r="E117" s="50" t="s">
        <v>82</v>
      </c>
      <c r="F117" s="50">
        <v>300</v>
      </c>
    </row>
    <row r="132" spans="1:32">
      <c r="A132" s="50" t="s">
        <v>301</v>
      </c>
    </row>
    <row r="134" spans="1:32">
      <c r="A134" s="50" t="s">
        <v>300</v>
      </c>
    </row>
    <row r="136" spans="1:32" s="87" customFormat="1" ht="30" customHeight="1">
      <c r="A136" s="93" t="s">
        <v>137</v>
      </c>
      <c r="B136" s="138" t="s">
        <v>0</v>
      </c>
      <c r="C136" s="138"/>
      <c r="D136" s="93" t="s">
        <v>138</v>
      </c>
      <c r="E136" s="93" t="s">
        <v>139</v>
      </c>
      <c r="F136" s="93" t="s">
        <v>140</v>
      </c>
      <c r="G136" s="93" t="s">
        <v>141</v>
      </c>
      <c r="H136" s="93" t="s">
        <v>142</v>
      </c>
      <c r="I136" s="94" t="s">
        <v>143</v>
      </c>
      <c r="J136" s="94" t="s">
        <v>144</v>
      </c>
      <c r="K136" s="94" t="s">
        <v>145</v>
      </c>
      <c r="L136" s="94" t="s">
        <v>146</v>
      </c>
      <c r="M136" s="94" t="s">
        <v>147</v>
      </c>
      <c r="N136" s="94" t="s">
        <v>148</v>
      </c>
      <c r="O136" s="93" t="s">
        <v>149</v>
      </c>
      <c r="P136" s="94" t="s">
        <v>150</v>
      </c>
      <c r="Q136" s="94" t="s">
        <v>151</v>
      </c>
      <c r="R136" s="93" t="s">
        <v>152</v>
      </c>
      <c r="S136" s="93" t="s">
        <v>153</v>
      </c>
      <c r="T136" s="93" t="s">
        <v>154</v>
      </c>
      <c r="U136" s="93" t="s">
        <v>155</v>
      </c>
      <c r="V136" s="93" t="s">
        <v>156</v>
      </c>
      <c r="W136" s="93" t="s">
        <v>157</v>
      </c>
      <c r="X136" s="94" t="s">
        <v>158</v>
      </c>
      <c r="Y136" s="93" t="s">
        <v>159</v>
      </c>
      <c r="Z136" s="93" t="s">
        <v>160</v>
      </c>
      <c r="AA136" s="93" t="s">
        <v>161</v>
      </c>
      <c r="AB136" s="93" t="s">
        <v>162</v>
      </c>
      <c r="AC136" s="93" t="s">
        <v>163</v>
      </c>
      <c r="AD136" s="93" t="s">
        <v>164</v>
      </c>
      <c r="AE136" s="93" t="s">
        <v>165</v>
      </c>
      <c r="AF136" s="92" t="s">
        <v>166</v>
      </c>
    </row>
    <row r="137" spans="1:32" s="87" customFormat="1" ht="21.65" customHeight="1">
      <c r="B137" s="135" t="s">
        <v>251</v>
      </c>
      <c r="C137" s="135"/>
      <c r="D137" s="56" t="s">
        <v>250</v>
      </c>
      <c r="F137" s="56" t="s">
        <v>78</v>
      </c>
      <c r="H137" s="58">
        <v>45685</v>
      </c>
      <c r="I137" s="91">
        <v>4000</v>
      </c>
      <c r="J137" s="90">
        <v>127</v>
      </c>
      <c r="K137" s="55">
        <v>125</v>
      </c>
      <c r="L137" s="54">
        <v>508000</v>
      </c>
      <c r="M137" s="54">
        <v>5949.78</v>
      </c>
      <c r="N137" s="90">
        <v>300</v>
      </c>
      <c r="O137" s="54">
        <v>1200000</v>
      </c>
      <c r="P137" s="54">
        <v>14173.46</v>
      </c>
      <c r="Q137" s="89">
        <v>9.4480667346417399E-2</v>
      </c>
      <c r="R137" s="54">
        <v>0</v>
      </c>
      <c r="S137" s="54">
        <v>0</v>
      </c>
      <c r="T137" s="54">
        <v>0</v>
      </c>
      <c r="U137" s="54">
        <v>0</v>
      </c>
      <c r="V137" s="54">
        <v>5949.78</v>
      </c>
      <c r="W137" s="54">
        <v>0</v>
      </c>
      <c r="X137" s="55">
        <v>84.665300000000002</v>
      </c>
      <c r="Y137" s="54">
        <v>692000</v>
      </c>
      <c r="Z137" s="54">
        <v>8173.36</v>
      </c>
      <c r="AA137" s="54">
        <v>0</v>
      </c>
      <c r="AB137" s="54">
        <v>0</v>
      </c>
      <c r="AC137" s="54">
        <v>0</v>
      </c>
      <c r="AD137" s="54">
        <v>692000</v>
      </c>
      <c r="AE137" s="54">
        <v>8173.36</v>
      </c>
      <c r="AF137" s="88">
        <v>45633</v>
      </c>
    </row>
    <row r="138" spans="1:32">
      <c r="M138" s="52">
        <f>L137/R142</f>
        <v>6000.0968519570588</v>
      </c>
      <c r="O138" s="86">
        <f>I137*N137</f>
        <v>1200000</v>
      </c>
      <c r="P138" s="52">
        <f>O137/R142</f>
        <v>14173.457130607227</v>
      </c>
      <c r="Y138" s="52">
        <f>O137-L137</f>
        <v>692000</v>
      </c>
      <c r="Z138" s="52">
        <f>P137-M138</f>
        <v>8173.3631480429403</v>
      </c>
      <c r="AC138" s="112">
        <f>Z139-AE137</f>
        <v>50.320000000000618</v>
      </c>
      <c r="AD138" s="52">
        <f>O137-L137</f>
        <v>692000</v>
      </c>
      <c r="AE138" s="52">
        <f>AD137/R142</f>
        <v>8173.3602786501669</v>
      </c>
    </row>
    <row r="139" spans="1:32">
      <c r="A139" s="50" t="s">
        <v>90</v>
      </c>
      <c r="Z139" s="52">
        <f>P137-M137</f>
        <v>8223.68</v>
      </c>
    </row>
    <row r="141" spans="1:32" s="53" customFormat="1">
      <c r="A141" s="67" t="s">
        <v>91</v>
      </c>
      <c r="B141" s="67" t="s">
        <v>92</v>
      </c>
      <c r="C141" s="67" t="s">
        <v>93</v>
      </c>
      <c r="D141" s="67" t="s">
        <v>94</v>
      </c>
      <c r="E141" s="67" t="s">
        <v>95</v>
      </c>
      <c r="F141" s="67" t="s">
        <v>96</v>
      </c>
      <c r="G141" s="67" t="s">
        <v>97</v>
      </c>
      <c r="H141" s="67" t="s">
        <v>98</v>
      </c>
      <c r="I141" s="67" t="s">
        <v>99</v>
      </c>
      <c r="J141" s="67" t="s">
        <v>100</v>
      </c>
      <c r="K141" s="67" t="s">
        <v>101</v>
      </c>
      <c r="L141" s="67" t="s">
        <v>102</v>
      </c>
      <c r="M141" s="67" t="s">
        <v>103</v>
      </c>
      <c r="N141" s="67" t="s">
        <v>104</v>
      </c>
      <c r="O141" s="67" t="s">
        <v>105</v>
      </c>
      <c r="P141" s="67" t="s">
        <v>106</v>
      </c>
      <c r="Q141" s="67" t="s">
        <v>107</v>
      </c>
      <c r="R141" s="67" t="s">
        <v>108</v>
      </c>
      <c r="S141" s="67" t="s">
        <v>109</v>
      </c>
      <c r="T141" s="67" t="s">
        <v>110</v>
      </c>
      <c r="U141" s="67" t="s">
        <v>0</v>
      </c>
      <c r="V141" s="67" t="s">
        <v>111</v>
      </c>
      <c r="W141" s="67" t="s">
        <v>112</v>
      </c>
      <c r="X141" s="67" t="s">
        <v>113</v>
      </c>
      <c r="Y141" s="67" t="s">
        <v>114</v>
      </c>
      <c r="Z141" s="67" t="s">
        <v>115</v>
      </c>
      <c r="AA141" s="67" t="s">
        <v>116</v>
      </c>
      <c r="AB141" s="67" t="s">
        <v>117</v>
      </c>
      <c r="AC141" s="67" t="s">
        <v>118</v>
      </c>
      <c r="AD141" s="67" t="s">
        <v>119</v>
      </c>
    </row>
    <row r="142" spans="1:32" s="53" customFormat="1">
      <c r="A142" s="53" t="s">
        <v>254</v>
      </c>
      <c r="B142" s="53" t="s">
        <v>120</v>
      </c>
      <c r="C142" s="53" t="s">
        <v>258</v>
      </c>
      <c r="D142" s="53" t="s">
        <v>258</v>
      </c>
      <c r="E142" s="53" t="s">
        <v>299</v>
      </c>
      <c r="F142" s="53" t="s">
        <v>296</v>
      </c>
      <c r="G142" s="53" t="s">
        <v>203</v>
      </c>
      <c r="H142" s="53" t="s">
        <v>204</v>
      </c>
      <c r="I142" s="53" t="s">
        <v>205</v>
      </c>
      <c r="J142" s="53" t="s">
        <v>206</v>
      </c>
      <c r="K142" s="53" t="s">
        <v>207</v>
      </c>
      <c r="L142" s="53" t="s">
        <v>208</v>
      </c>
      <c r="M142" s="53" t="s">
        <v>206</v>
      </c>
      <c r="N142" s="53" t="s">
        <v>78</v>
      </c>
      <c r="O142" s="53" t="s">
        <v>127</v>
      </c>
      <c r="P142" s="66">
        <v>400000</v>
      </c>
      <c r="Q142" s="66">
        <v>4753.41</v>
      </c>
      <c r="R142" s="53">
        <v>84.665300000000002</v>
      </c>
      <c r="S142" s="53" t="s">
        <v>128</v>
      </c>
      <c r="T142" s="65"/>
      <c r="U142" s="53" t="s">
        <v>251</v>
      </c>
      <c r="V142" s="53" t="s">
        <v>80</v>
      </c>
      <c r="W142" s="53" t="s">
        <v>209</v>
      </c>
      <c r="X142" s="53" t="s">
        <v>120</v>
      </c>
      <c r="Y142" s="53" t="s">
        <v>120</v>
      </c>
      <c r="Z142" s="53" t="s">
        <v>297</v>
      </c>
      <c r="AA142" s="53" t="s">
        <v>129</v>
      </c>
      <c r="AB142" s="53" t="s">
        <v>210</v>
      </c>
      <c r="AC142" s="53" t="s">
        <v>79</v>
      </c>
      <c r="AD142" s="53" t="s">
        <v>296</v>
      </c>
    </row>
    <row r="143" spans="1:32" s="53" customFormat="1">
      <c r="A143" s="53" t="s">
        <v>254</v>
      </c>
      <c r="B143" s="53" t="s">
        <v>120</v>
      </c>
      <c r="C143" s="53" t="s">
        <v>258</v>
      </c>
      <c r="D143" s="53" t="s">
        <v>258</v>
      </c>
      <c r="E143" s="53" t="s">
        <v>298</v>
      </c>
      <c r="F143" s="53" t="s">
        <v>296</v>
      </c>
      <c r="G143" s="53" t="s">
        <v>203</v>
      </c>
      <c r="H143" s="53" t="s">
        <v>130</v>
      </c>
      <c r="I143" s="53" t="s">
        <v>211</v>
      </c>
      <c r="J143" s="53" t="s">
        <v>212</v>
      </c>
      <c r="K143" s="53" t="s">
        <v>213</v>
      </c>
      <c r="L143" s="53" t="s">
        <v>214</v>
      </c>
      <c r="M143" s="53" t="s">
        <v>212</v>
      </c>
      <c r="N143" s="53" t="s">
        <v>78</v>
      </c>
      <c r="O143" s="53" t="s">
        <v>135</v>
      </c>
      <c r="P143" s="66">
        <v>-400000</v>
      </c>
      <c r="Q143" s="66">
        <v>-4753.41</v>
      </c>
      <c r="R143" s="53">
        <v>84.665300000000002</v>
      </c>
      <c r="S143" s="53" t="s">
        <v>128</v>
      </c>
      <c r="T143" s="65"/>
      <c r="U143" s="53" t="s">
        <v>251</v>
      </c>
      <c r="V143" s="53" t="s">
        <v>80</v>
      </c>
      <c r="W143" s="53" t="s">
        <v>209</v>
      </c>
      <c r="X143" s="53" t="s">
        <v>120</v>
      </c>
      <c r="Y143" s="53" t="s">
        <v>120</v>
      </c>
      <c r="Z143" s="53" t="s">
        <v>297</v>
      </c>
      <c r="AA143" s="53" t="s">
        <v>129</v>
      </c>
      <c r="AB143" s="53" t="s">
        <v>210</v>
      </c>
      <c r="AC143" s="53" t="s">
        <v>79</v>
      </c>
      <c r="AD143" s="53" t="s">
        <v>296</v>
      </c>
    </row>
    <row r="145" spans="1:73" ht="21">
      <c r="P145" s="93" t="s">
        <v>164</v>
      </c>
      <c r="Q145" s="93" t="s">
        <v>165</v>
      </c>
      <c r="S145" s="53"/>
      <c r="T145" s="64"/>
    </row>
    <row r="146" spans="1:73">
      <c r="L146" s="144"/>
      <c r="O146" s="50" t="s">
        <v>295</v>
      </c>
      <c r="P146" s="54">
        <v>292000</v>
      </c>
      <c r="Q146" s="54">
        <v>3419.95</v>
      </c>
      <c r="S146" s="53"/>
      <c r="T146" s="64"/>
    </row>
    <row r="147" spans="1:73">
      <c r="O147" s="50" t="s">
        <v>294</v>
      </c>
      <c r="P147" s="54">
        <v>692000</v>
      </c>
      <c r="Q147" s="54">
        <v>8173.36</v>
      </c>
    </row>
    <row r="148" spans="1:73">
      <c r="L148" s="144"/>
      <c r="P148" s="52">
        <f>P147-P146</f>
        <v>400000</v>
      </c>
      <c r="Q148" s="52">
        <f>Q147-Q146</f>
        <v>4753.41</v>
      </c>
      <c r="T148" s="64"/>
    </row>
    <row r="149" spans="1:73">
      <c r="L149" s="144"/>
      <c r="M149" s="144"/>
    </row>
    <row r="150" spans="1:73">
      <c r="A150" s="50" t="s">
        <v>293</v>
      </c>
    </row>
    <row r="152" spans="1:73" s="107" customFormat="1">
      <c r="A152" s="108" t="s">
        <v>2</v>
      </c>
      <c r="B152" s="108" t="s">
        <v>3</v>
      </c>
      <c r="C152" s="108" t="s">
        <v>4</v>
      </c>
      <c r="D152" s="108" t="s">
        <v>5</v>
      </c>
      <c r="E152" s="111" t="s">
        <v>6</v>
      </c>
      <c r="F152" s="108" t="s">
        <v>7</v>
      </c>
      <c r="G152" s="108" t="s">
        <v>8</v>
      </c>
      <c r="H152" s="108" t="s">
        <v>9</v>
      </c>
      <c r="I152" s="108" t="s">
        <v>10</v>
      </c>
      <c r="J152" s="108" t="s">
        <v>11</v>
      </c>
      <c r="K152" s="108" t="s">
        <v>12</v>
      </c>
      <c r="L152" s="108" t="s">
        <v>13</v>
      </c>
      <c r="M152" s="108" t="s">
        <v>14</v>
      </c>
      <c r="N152" s="108" t="s">
        <v>15</v>
      </c>
      <c r="O152" s="111" t="s">
        <v>16</v>
      </c>
      <c r="P152" s="111" t="s">
        <v>17</v>
      </c>
      <c r="Q152" s="108" t="s">
        <v>18</v>
      </c>
      <c r="R152" s="108" t="s">
        <v>19</v>
      </c>
      <c r="S152" s="111" t="s">
        <v>20</v>
      </c>
      <c r="T152" s="108" t="s">
        <v>21</v>
      </c>
      <c r="U152" s="108" t="s">
        <v>22</v>
      </c>
      <c r="V152" s="108" t="s">
        <v>23</v>
      </c>
      <c r="W152" s="108" t="s">
        <v>24</v>
      </c>
      <c r="X152" s="108" t="s">
        <v>25</v>
      </c>
      <c r="Y152" s="108" t="s">
        <v>26</v>
      </c>
      <c r="Z152" s="108" t="s">
        <v>27</v>
      </c>
      <c r="AA152" s="108" t="s">
        <v>28</v>
      </c>
      <c r="AB152" s="108" t="s">
        <v>29</v>
      </c>
      <c r="AC152" s="111" t="s">
        <v>30</v>
      </c>
      <c r="AD152" s="111" t="s">
        <v>31</v>
      </c>
      <c r="AE152" s="111" t="s">
        <v>32</v>
      </c>
      <c r="AF152" s="111" t="s">
        <v>33</v>
      </c>
      <c r="AG152" s="111" t="s">
        <v>34</v>
      </c>
      <c r="AH152" s="108" t="s">
        <v>35</v>
      </c>
      <c r="AI152" s="108" t="s">
        <v>36</v>
      </c>
      <c r="AJ152" s="108" t="s">
        <v>37</v>
      </c>
      <c r="AK152" s="108" t="s">
        <v>38</v>
      </c>
      <c r="AL152" s="108" t="s">
        <v>39</v>
      </c>
      <c r="AM152" s="110" t="s">
        <v>40</v>
      </c>
      <c r="AN152" s="108" t="s">
        <v>41</v>
      </c>
      <c r="AO152" s="108" t="s">
        <v>42</v>
      </c>
      <c r="AP152" s="108" t="s">
        <v>43</v>
      </c>
      <c r="AQ152" s="108" t="s">
        <v>44</v>
      </c>
      <c r="AR152" s="109" t="s">
        <v>45</v>
      </c>
      <c r="AS152" s="108" t="s">
        <v>46</v>
      </c>
      <c r="AT152" s="109" t="s">
        <v>47</v>
      </c>
      <c r="AU152" s="108" t="s">
        <v>48</v>
      </c>
      <c r="AV152" s="108" t="s">
        <v>49</v>
      </c>
      <c r="AW152" s="108" t="s">
        <v>50</v>
      </c>
      <c r="AX152" s="109" t="s">
        <v>51</v>
      </c>
      <c r="AY152" s="108" t="s">
        <v>52</v>
      </c>
      <c r="AZ152" s="109" t="s">
        <v>53</v>
      </c>
      <c r="BA152" s="108" t="s">
        <v>54</v>
      </c>
      <c r="BB152" s="108" t="s">
        <v>55</v>
      </c>
      <c r="BC152" s="108" t="s">
        <v>56</v>
      </c>
      <c r="BD152" s="108" t="s">
        <v>57</v>
      </c>
      <c r="BE152" s="108" t="s">
        <v>58</v>
      </c>
      <c r="BF152" s="108" t="s">
        <v>59</v>
      </c>
      <c r="BG152" s="108" t="s">
        <v>60</v>
      </c>
      <c r="BH152" s="108" t="s">
        <v>61</v>
      </c>
      <c r="BI152" s="108" t="s">
        <v>62</v>
      </c>
      <c r="BJ152" s="108" t="s">
        <v>63</v>
      </c>
      <c r="BK152" s="108" t="s">
        <v>64</v>
      </c>
      <c r="BL152" s="108" t="s">
        <v>65</v>
      </c>
      <c r="BM152" s="108" t="s">
        <v>66</v>
      </c>
      <c r="BN152" s="108" t="s">
        <v>67</v>
      </c>
      <c r="BO152" s="108" t="s">
        <v>68</v>
      </c>
      <c r="BP152" s="108" t="s">
        <v>69</v>
      </c>
      <c r="BQ152" s="108" t="s">
        <v>70</v>
      </c>
      <c r="BR152" s="108" t="s">
        <v>71</v>
      </c>
      <c r="BS152" s="108" t="s">
        <v>72</v>
      </c>
      <c r="BT152" s="108" t="s">
        <v>73</v>
      </c>
      <c r="BU152" s="108" t="s">
        <v>74</v>
      </c>
    </row>
    <row r="153" spans="1:73" s="95" customFormat="1" ht="15" customHeight="1">
      <c r="A153" s="95" t="s">
        <v>254</v>
      </c>
      <c r="B153" s="95" t="s">
        <v>76</v>
      </c>
      <c r="C153" s="95" t="s">
        <v>77</v>
      </c>
      <c r="D153" s="95">
        <v>55</v>
      </c>
      <c r="E153" s="106" t="s">
        <v>251</v>
      </c>
      <c r="F153" s="95" t="s">
        <v>78</v>
      </c>
      <c r="G153" s="95" t="s">
        <v>78</v>
      </c>
      <c r="H153" s="95" t="s">
        <v>79</v>
      </c>
      <c r="I153" s="95" t="s">
        <v>80</v>
      </c>
      <c r="J153" s="98"/>
      <c r="K153" s="98"/>
      <c r="L153" s="98"/>
      <c r="M153" s="98"/>
      <c r="N153" s="105"/>
      <c r="O153" s="98">
        <v>3000</v>
      </c>
      <c r="P153" s="105">
        <v>150</v>
      </c>
      <c r="Q153" s="95">
        <v>0</v>
      </c>
      <c r="R153" s="103">
        <f>O153*P153</f>
        <v>450000</v>
      </c>
      <c r="S153" s="53">
        <v>84.665300000000002</v>
      </c>
      <c r="T153" s="103">
        <f>R153/S153</f>
        <v>5315.0464239777093</v>
      </c>
      <c r="U153" s="96">
        <v>0</v>
      </c>
      <c r="V153" s="96">
        <v>0</v>
      </c>
      <c r="W153" s="104">
        <f>O153*P153</f>
        <v>450000</v>
      </c>
      <c r="X153" s="103">
        <f>W153/S153</f>
        <v>5315.0464239777093</v>
      </c>
      <c r="Y153" s="95" t="s">
        <v>249</v>
      </c>
      <c r="Z153" s="95" t="s">
        <v>82</v>
      </c>
      <c r="AA153" s="95" t="s">
        <v>83</v>
      </c>
      <c r="AB153" s="95" t="s">
        <v>84</v>
      </c>
      <c r="AC153" s="98" t="s">
        <v>242</v>
      </c>
      <c r="AD153" s="100">
        <v>45633</v>
      </c>
      <c r="AE153" s="100">
        <v>45633</v>
      </c>
      <c r="AF153" s="100">
        <v>45633</v>
      </c>
      <c r="AG153" s="102">
        <v>45685</v>
      </c>
      <c r="AH153" s="95" t="s">
        <v>86</v>
      </c>
      <c r="AI153" s="95" t="s">
        <v>292</v>
      </c>
      <c r="AJ153" s="53">
        <v>84.665300000000002</v>
      </c>
      <c r="AK153" s="101">
        <f>W153/AJ153</f>
        <v>5315.0464239777093</v>
      </c>
      <c r="AM153" s="100">
        <v>45633</v>
      </c>
      <c r="AN153" s="96">
        <v>0</v>
      </c>
      <c r="AO153" s="96">
        <v>0</v>
      </c>
      <c r="AR153" s="99" t="s">
        <v>88</v>
      </c>
      <c r="AS153" s="95" t="s">
        <v>78</v>
      </c>
      <c r="AT153" s="98">
        <v>3000</v>
      </c>
      <c r="AU153" s="98">
        <v>3000</v>
      </c>
      <c r="AV153" s="53">
        <v>84.665300000000002</v>
      </c>
      <c r="AW153" s="96">
        <v>0</v>
      </c>
      <c r="AX153" s="99" t="s">
        <v>89</v>
      </c>
      <c r="AY153" s="95" t="s">
        <v>78</v>
      </c>
      <c r="AZ153" s="98">
        <v>3000</v>
      </c>
      <c r="BA153" s="98">
        <v>3000</v>
      </c>
      <c r="BB153" s="53">
        <v>84.665300000000002</v>
      </c>
      <c r="BC153" s="96">
        <v>0</v>
      </c>
      <c r="BD153" s="97"/>
      <c r="BE153" s="97"/>
      <c r="BF153" s="96">
        <v>0</v>
      </c>
      <c r="BG153" s="96">
        <v>0</v>
      </c>
      <c r="BH153" s="95">
        <v>0</v>
      </c>
      <c r="BI153" s="96">
        <v>0</v>
      </c>
      <c r="BJ153" s="97"/>
      <c r="BK153" s="97"/>
      <c r="BL153" s="96">
        <v>0</v>
      </c>
      <c r="BM153" s="96">
        <v>0</v>
      </c>
      <c r="BN153" s="95">
        <v>0</v>
      </c>
      <c r="BO153" s="96">
        <v>0</v>
      </c>
      <c r="BP153" s="97"/>
      <c r="BQ153" s="97"/>
      <c r="BR153" s="96">
        <v>0</v>
      </c>
      <c r="BS153" s="96">
        <v>0</v>
      </c>
      <c r="BT153" s="95">
        <v>0</v>
      </c>
      <c r="BU153" s="96">
        <v>0</v>
      </c>
    </row>
    <row r="192" spans="12:13">
      <c r="L192" s="54">
        <v>508000</v>
      </c>
      <c r="M192" s="54">
        <v>5949.78</v>
      </c>
    </row>
    <row r="193" spans="1:32">
      <c r="A193" s="50" t="s">
        <v>291</v>
      </c>
      <c r="L193" s="66">
        <v>444000</v>
      </c>
      <c r="M193" s="66">
        <v>5244.18</v>
      </c>
    </row>
    <row r="194" spans="1:32">
      <c r="L194" s="52">
        <f>L192-L193</f>
        <v>64000</v>
      </c>
      <c r="M194" s="52">
        <f>M192-M193</f>
        <v>705.59999999999945</v>
      </c>
      <c r="N194" s="52"/>
    </row>
    <row r="195" spans="1:32" s="87" customFormat="1" ht="30" customHeight="1">
      <c r="A195" s="93" t="s">
        <v>137</v>
      </c>
      <c r="B195" s="138" t="s">
        <v>0</v>
      </c>
      <c r="C195" s="138"/>
      <c r="D195" s="93" t="s">
        <v>138</v>
      </c>
      <c r="E195" s="93" t="s">
        <v>139</v>
      </c>
      <c r="F195" s="93" t="s">
        <v>140</v>
      </c>
      <c r="G195" s="93" t="s">
        <v>141</v>
      </c>
      <c r="H195" s="93" t="s">
        <v>142</v>
      </c>
      <c r="I195" s="94" t="s">
        <v>143</v>
      </c>
      <c r="J195" s="94" t="s">
        <v>144</v>
      </c>
      <c r="K195" s="94" t="s">
        <v>145</v>
      </c>
      <c r="L195" s="94" t="s">
        <v>146</v>
      </c>
      <c r="M195" s="94" t="s">
        <v>147</v>
      </c>
      <c r="N195" s="94" t="s">
        <v>148</v>
      </c>
      <c r="O195" s="93" t="s">
        <v>149</v>
      </c>
      <c r="P195" s="94" t="s">
        <v>150</v>
      </c>
      <c r="Q195" s="94" t="s">
        <v>151</v>
      </c>
      <c r="R195" s="93" t="s">
        <v>152</v>
      </c>
      <c r="S195" s="93" t="s">
        <v>153</v>
      </c>
      <c r="T195" s="93" t="s">
        <v>154</v>
      </c>
      <c r="U195" s="93" t="s">
        <v>155</v>
      </c>
      <c r="V195" s="93" t="s">
        <v>156</v>
      </c>
      <c r="W195" s="93" t="s">
        <v>157</v>
      </c>
      <c r="X195" s="94" t="s">
        <v>158</v>
      </c>
      <c r="Y195" s="93" t="s">
        <v>159</v>
      </c>
      <c r="Z195" s="93" t="s">
        <v>160</v>
      </c>
      <c r="AA195" s="93" t="s">
        <v>161</v>
      </c>
      <c r="AB195" s="93" t="s">
        <v>162</v>
      </c>
      <c r="AC195" s="93" t="s">
        <v>163</v>
      </c>
      <c r="AD195" s="93" t="s">
        <v>164</v>
      </c>
      <c r="AE195" s="93" t="s">
        <v>165</v>
      </c>
      <c r="AF195" s="92" t="s">
        <v>166</v>
      </c>
    </row>
    <row r="196" spans="1:32" s="87" customFormat="1" ht="21.65" customHeight="1">
      <c r="B196" s="135" t="s">
        <v>251</v>
      </c>
      <c r="C196" s="135"/>
      <c r="D196" s="56" t="s">
        <v>250</v>
      </c>
      <c r="F196" s="56" t="s">
        <v>78</v>
      </c>
      <c r="H196" s="58">
        <v>45685</v>
      </c>
      <c r="I196" s="91">
        <v>1000</v>
      </c>
      <c r="J196" s="90">
        <v>64</v>
      </c>
      <c r="K196" s="55">
        <v>125</v>
      </c>
      <c r="L196" s="54">
        <v>64000</v>
      </c>
      <c r="M196" s="54">
        <v>705.6</v>
      </c>
      <c r="N196" s="90">
        <v>300</v>
      </c>
      <c r="O196" s="54">
        <v>300000</v>
      </c>
      <c r="P196" s="54">
        <v>3543.36</v>
      </c>
      <c r="Q196" s="89">
        <v>2.36169606360941E-2</v>
      </c>
      <c r="R196" s="54">
        <v>0</v>
      </c>
      <c r="S196" s="54">
        <v>0</v>
      </c>
      <c r="T196" s="54">
        <v>0</v>
      </c>
      <c r="U196" s="54">
        <v>0</v>
      </c>
      <c r="V196" s="54">
        <v>705.6</v>
      </c>
      <c r="W196" s="54">
        <v>0</v>
      </c>
      <c r="X196" s="55">
        <v>84.665300000000002</v>
      </c>
      <c r="Y196" s="54">
        <v>236000</v>
      </c>
      <c r="Z196" s="54">
        <v>2787.45</v>
      </c>
      <c r="AA196" s="54">
        <v>0</v>
      </c>
      <c r="AB196" s="54">
        <v>0</v>
      </c>
      <c r="AC196" s="54">
        <v>0</v>
      </c>
      <c r="AD196" s="54">
        <v>692000</v>
      </c>
      <c r="AE196" s="54">
        <v>8173.36</v>
      </c>
      <c r="AF196" s="88">
        <v>45633</v>
      </c>
    </row>
    <row r="197" spans="1:32">
      <c r="L197" s="86">
        <f>I196*J196</f>
        <v>64000</v>
      </c>
      <c r="M197" s="52">
        <f>L196/X196</f>
        <v>755.91771363238536</v>
      </c>
      <c r="O197" s="86">
        <f>I196*N196</f>
        <v>300000</v>
      </c>
      <c r="P197" s="52">
        <f>O196/R208</f>
        <v>3543.3642826518067</v>
      </c>
      <c r="Y197" s="52">
        <f>O196-L196</f>
        <v>236000</v>
      </c>
      <c r="Z197" s="52">
        <f>P197-M197</f>
        <v>2787.4465690194211</v>
      </c>
    </row>
    <row r="198" spans="1:32">
      <c r="A198" s="50" t="s">
        <v>290</v>
      </c>
      <c r="Z198" s="52">
        <f>P196-M196</f>
        <v>2837.76</v>
      </c>
      <c r="AA198" s="52"/>
    </row>
    <row r="200" spans="1:32" s="53" customFormat="1" ht="25" customHeight="1">
      <c r="A200" s="85" t="s">
        <v>289</v>
      </c>
      <c r="B200" s="85" t="s">
        <v>288</v>
      </c>
      <c r="C200" s="85" t="s">
        <v>287</v>
      </c>
      <c r="D200" s="84" t="s">
        <v>286</v>
      </c>
      <c r="E200" s="84" t="s">
        <v>285</v>
      </c>
      <c r="F200" s="84" t="s">
        <v>284</v>
      </c>
      <c r="G200" s="85" t="s">
        <v>283</v>
      </c>
      <c r="H200" s="85" t="s">
        <v>282</v>
      </c>
      <c r="I200" s="85" t="s">
        <v>281</v>
      </c>
      <c r="J200" s="85" t="s">
        <v>280</v>
      </c>
      <c r="K200" s="85" t="s">
        <v>142</v>
      </c>
      <c r="L200" s="85" t="s">
        <v>279</v>
      </c>
      <c r="M200" s="84" t="s">
        <v>278</v>
      </c>
      <c r="N200" s="84" t="s">
        <v>144</v>
      </c>
      <c r="O200" s="84" t="s">
        <v>277</v>
      </c>
      <c r="P200" s="84" t="s">
        <v>276</v>
      </c>
      <c r="Q200" s="84" t="s">
        <v>275</v>
      </c>
      <c r="R200" s="84" t="s">
        <v>148</v>
      </c>
      <c r="S200" s="84" t="s">
        <v>274</v>
      </c>
      <c r="T200" s="84" t="s">
        <v>273</v>
      </c>
      <c r="U200" s="84" t="s">
        <v>151</v>
      </c>
      <c r="V200" s="84" t="s">
        <v>272</v>
      </c>
      <c r="W200" s="84" t="s">
        <v>271</v>
      </c>
      <c r="X200" s="84" t="s">
        <v>270</v>
      </c>
      <c r="Y200" s="84" t="s">
        <v>269</v>
      </c>
      <c r="Z200" s="84" t="s">
        <v>268</v>
      </c>
      <c r="AA200" s="84" t="s">
        <v>157</v>
      </c>
      <c r="AB200" s="84" t="s">
        <v>267</v>
      </c>
      <c r="AC200" s="84" t="s">
        <v>266</v>
      </c>
      <c r="AD200" s="84" t="s">
        <v>265</v>
      </c>
      <c r="AE200" s="84" t="s">
        <v>264</v>
      </c>
      <c r="AF200" s="84" t="s">
        <v>263</v>
      </c>
    </row>
    <row r="201" spans="1:32" s="53" customFormat="1" ht="20.149999999999999" customHeight="1">
      <c r="A201" s="81" t="s">
        <v>251</v>
      </c>
      <c r="B201" s="81" t="s">
        <v>78</v>
      </c>
      <c r="C201" s="81" t="s">
        <v>250</v>
      </c>
      <c r="D201" s="83" t="s">
        <v>78</v>
      </c>
      <c r="E201" s="83" t="s">
        <v>76</v>
      </c>
      <c r="F201" s="82">
        <v>144223</v>
      </c>
      <c r="G201" s="81" t="s">
        <v>262</v>
      </c>
      <c r="H201" s="80">
        <v>45632</v>
      </c>
      <c r="I201" s="80">
        <v>45632</v>
      </c>
      <c r="J201" s="81" t="s">
        <v>260</v>
      </c>
      <c r="K201" s="80">
        <v>45685</v>
      </c>
      <c r="L201" s="80">
        <v>45685</v>
      </c>
      <c r="M201" s="79">
        <v>2500</v>
      </c>
      <c r="N201" s="78">
        <v>0</v>
      </c>
      <c r="O201" s="76">
        <v>0</v>
      </c>
      <c r="P201" s="76">
        <v>0</v>
      </c>
      <c r="Q201" s="76">
        <v>0</v>
      </c>
      <c r="R201" s="78">
        <v>300</v>
      </c>
      <c r="S201" s="76">
        <v>0</v>
      </c>
      <c r="T201" s="76">
        <v>0</v>
      </c>
      <c r="U201" s="77">
        <v>0</v>
      </c>
      <c r="V201" s="76">
        <v>0</v>
      </c>
      <c r="W201" s="76">
        <v>0</v>
      </c>
      <c r="X201" s="76">
        <v>0</v>
      </c>
      <c r="Y201" s="76">
        <v>0</v>
      </c>
      <c r="Z201" s="76">
        <v>0</v>
      </c>
      <c r="AA201" s="76">
        <v>0</v>
      </c>
      <c r="AB201" s="76">
        <v>0</v>
      </c>
      <c r="AC201" s="76">
        <v>0</v>
      </c>
      <c r="AD201" s="76">
        <v>0</v>
      </c>
      <c r="AE201" s="76">
        <v>0</v>
      </c>
      <c r="AF201" s="76">
        <v>84.665300000000002</v>
      </c>
    </row>
    <row r="202" spans="1:32" s="53" customFormat="1" ht="20.149999999999999" customHeight="1">
      <c r="A202" s="73" t="s">
        <v>251</v>
      </c>
      <c r="B202" s="73" t="s">
        <v>78</v>
      </c>
      <c r="C202" s="73" t="s">
        <v>250</v>
      </c>
      <c r="D202" s="75" t="s">
        <v>78</v>
      </c>
      <c r="E202" s="75" t="s">
        <v>76</v>
      </c>
      <c r="F202" s="74">
        <v>144224</v>
      </c>
      <c r="G202" s="73" t="s">
        <v>261</v>
      </c>
      <c r="H202" s="72">
        <v>45632</v>
      </c>
      <c r="I202" s="72">
        <v>45633</v>
      </c>
      <c r="J202" s="73" t="s">
        <v>260</v>
      </c>
      <c r="K202" s="72">
        <v>45685</v>
      </c>
      <c r="L202" s="72">
        <v>45685</v>
      </c>
      <c r="M202" s="71">
        <v>1500</v>
      </c>
      <c r="N202" s="70">
        <v>84.6666666666667</v>
      </c>
      <c r="O202" s="68">
        <v>127000</v>
      </c>
      <c r="P202" s="68">
        <v>1487.45</v>
      </c>
      <c r="Q202" s="68">
        <v>1500.0242129892599</v>
      </c>
      <c r="R202" s="70">
        <v>300</v>
      </c>
      <c r="S202" s="68">
        <v>300000</v>
      </c>
      <c r="T202" s="68">
        <v>3543.36</v>
      </c>
      <c r="U202" s="69">
        <v>2.36169606360941E-2</v>
      </c>
      <c r="V202" s="68">
        <v>0</v>
      </c>
      <c r="W202" s="68">
        <v>0</v>
      </c>
      <c r="X202" s="68">
        <v>0</v>
      </c>
      <c r="Y202" s="68">
        <v>0</v>
      </c>
      <c r="Z202" s="68">
        <v>127000</v>
      </c>
      <c r="AA202" s="68">
        <v>0</v>
      </c>
      <c r="AB202" s="68">
        <v>173000</v>
      </c>
      <c r="AC202" s="68">
        <v>2055.91</v>
      </c>
      <c r="AD202" s="68">
        <v>0</v>
      </c>
      <c r="AE202" s="68">
        <v>2043.3400696625399</v>
      </c>
      <c r="AF202" s="68">
        <v>84.665300000000002</v>
      </c>
    </row>
    <row r="205" spans="1:32">
      <c r="A205" s="50" t="s">
        <v>90</v>
      </c>
    </row>
    <row r="207" spans="1:32" s="53" customFormat="1">
      <c r="A207" s="67" t="s">
        <v>91</v>
      </c>
      <c r="B207" s="67" t="s">
        <v>92</v>
      </c>
      <c r="C207" s="67" t="s">
        <v>93</v>
      </c>
      <c r="D207" s="67" t="s">
        <v>94</v>
      </c>
      <c r="E207" s="67" t="s">
        <v>95</v>
      </c>
      <c r="F207" s="67" t="s">
        <v>96</v>
      </c>
      <c r="G207" s="67" t="s">
        <v>97</v>
      </c>
      <c r="H207" s="67" t="s">
        <v>98</v>
      </c>
      <c r="I207" s="67" t="s">
        <v>99</v>
      </c>
      <c r="J207" s="67" t="s">
        <v>100</v>
      </c>
      <c r="K207" s="67" t="s">
        <v>101</v>
      </c>
      <c r="L207" s="67" t="s">
        <v>102</v>
      </c>
      <c r="M207" s="67" t="s">
        <v>103</v>
      </c>
      <c r="N207" s="67" t="s">
        <v>104</v>
      </c>
      <c r="O207" s="67" t="s">
        <v>105</v>
      </c>
      <c r="P207" s="67" t="s">
        <v>106</v>
      </c>
      <c r="Q207" s="67" t="s">
        <v>107</v>
      </c>
      <c r="R207" s="67" t="s">
        <v>108</v>
      </c>
      <c r="S207" s="67" t="s">
        <v>109</v>
      </c>
      <c r="T207" s="67" t="s">
        <v>110</v>
      </c>
      <c r="U207" s="67" t="s">
        <v>0</v>
      </c>
      <c r="V207" s="67" t="s">
        <v>111</v>
      </c>
      <c r="W207" s="67" t="s">
        <v>112</v>
      </c>
      <c r="X207" s="67" t="s">
        <v>113</v>
      </c>
      <c r="Y207" s="67" t="s">
        <v>114</v>
      </c>
      <c r="Z207" s="67" t="s">
        <v>115</v>
      </c>
      <c r="AA207" s="67" t="s">
        <v>116</v>
      </c>
      <c r="AB207" s="67" t="s">
        <v>117</v>
      </c>
      <c r="AC207" s="67" t="s">
        <v>118</v>
      </c>
      <c r="AD207" s="67" t="s">
        <v>119</v>
      </c>
    </row>
    <row r="208" spans="1:32" s="53" customFormat="1">
      <c r="A208" s="53" t="s">
        <v>254</v>
      </c>
      <c r="B208" s="53" t="s">
        <v>120</v>
      </c>
      <c r="C208" s="53" t="s">
        <v>258</v>
      </c>
      <c r="D208" s="53" t="s">
        <v>258</v>
      </c>
      <c r="E208" s="53" t="s">
        <v>259</v>
      </c>
      <c r="F208" s="53" t="s">
        <v>252</v>
      </c>
      <c r="G208" s="53" t="s">
        <v>121</v>
      </c>
      <c r="H208" s="53" t="s">
        <v>122</v>
      </c>
      <c r="I208" s="53" t="s">
        <v>123</v>
      </c>
      <c r="J208" s="53" t="s">
        <v>124</v>
      </c>
      <c r="K208" s="53" t="s">
        <v>125</v>
      </c>
      <c r="L208" s="53" t="s">
        <v>126</v>
      </c>
      <c r="M208" s="53" t="s">
        <v>124</v>
      </c>
      <c r="N208" s="53" t="s">
        <v>78</v>
      </c>
      <c r="O208" s="53" t="s">
        <v>135</v>
      </c>
      <c r="P208" s="66">
        <v>-444000</v>
      </c>
      <c r="Q208" s="66">
        <v>-5244.18</v>
      </c>
      <c r="R208" s="53">
        <v>84.665300000000002</v>
      </c>
      <c r="S208" s="53" t="s">
        <v>128</v>
      </c>
      <c r="T208" s="53" t="s">
        <v>120</v>
      </c>
      <c r="U208" s="53" t="s">
        <v>251</v>
      </c>
      <c r="V208" s="53" t="s">
        <v>80</v>
      </c>
      <c r="W208" s="53" t="s">
        <v>242</v>
      </c>
      <c r="X208" s="53" t="s">
        <v>249</v>
      </c>
      <c r="Y208" s="53" t="s">
        <v>120</v>
      </c>
      <c r="Z208" s="53" t="s">
        <v>256</v>
      </c>
      <c r="AA208" s="53" t="s">
        <v>129</v>
      </c>
      <c r="AB208" s="53" t="s">
        <v>129</v>
      </c>
      <c r="AC208" s="53" t="s">
        <v>79</v>
      </c>
      <c r="AD208" s="53" t="s">
        <v>255</v>
      </c>
    </row>
    <row r="209" spans="1:46" s="53" customFormat="1">
      <c r="A209" s="53" t="s">
        <v>254</v>
      </c>
      <c r="B209" s="53" t="s">
        <v>120</v>
      </c>
      <c r="C209" s="53" t="s">
        <v>258</v>
      </c>
      <c r="D209" s="53" t="s">
        <v>258</v>
      </c>
      <c r="E209" s="53" t="s">
        <v>257</v>
      </c>
      <c r="F209" s="53" t="s">
        <v>252</v>
      </c>
      <c r="G209" s="53" t="s">
        <v>121</v>
      </c>
      <c r="H209" s="53" t="s">
        <v>130</v>
      </c>
      <c r="I209" s="53" t="s">
        <v>131</v>
      </c>
      <c r="J209" s="53" t="s">
        <v>132</v>
      </c>
      <c r="K209" s="53" t="s">
        <v>133</v>
      </c>
      <c r="L209" s="53" t="s">
        <v>134</v>
      </c>
      <c r="M209" s="53" t="s">
        <v>132</v>
      </c>
      <c r="N209" s="53" t="s">
        <v>78</v>
      </c>
      <c r="O209" s="53" t="s">
        <v>127</v>
      </c>
      <c r="P209" s="66">
        <v>444000</v>
      </c>
      <c r="Q209" s="66">
        <v>5244.18</v>
      </c>
      <c r="R209" s="53">
        <v>84.665300000000002</v>
      </c>
      <c r="S209" s="53" t="s">
        <v>128</v>
      </c>
      <c r="U209" s="53" t="s">
        <v>251</v>
      </c>
      <c r="V209" s="53" t="s">
        <v>80</v>
      </c>
      <c r="W209" s="53" t="s">
        <v>242</v>
      </c>
      <c r="X209" s="53" t="s">
        <v>249</v>
      </c>
      <c r="Y209" s="53" t="s">
        <v>120</v>
      </c>
      <c r="Z209" s="53" t="s">
        <v>256</v>
      </c>
      <c r="AA209" s="53" t="s">
        <v>129</v>
      </c>
      <c r="AB209" s="53" t="s">
        <v>129</v>
      </c>
      <c r="AC209" s="53" t="s">
        <v>79</v>
      </c>
      <c r="AD209" s="53" t="s">
        <v>255</v>
      </c>
    </row>
    <row r="211" spans="1:46">
      <c r="O211" s="53"/>
      <c r="P211" s="50">
        <f>3000*150-6000</f>
        <v>444000</v>
      </c>
      <c r="Q211" s="65">
        <f>P209/R209</f>
        <v>5244.1791383246737</v>
      </c>
    </row>
    <row r="212" spans="1:46">
      <c r="Q212" s="64"/>
    </row>
    <row r="213" spans="1:46">
      <c r="A213" s="50" t="s">
        <v>167</v>
      </c>
    </row>
    <row r="215" spans="1:46" s="53" customFormat="1" ht="32.15" customHeight="1">
      <c r="A215" s="63" t="s">
        <v>91</v>
      </c>
      <c r="B215" s="63" t="s">
        <v>168</v>
      </c>
      <c r="C215" s="63" t="s">
        <v>169</v>
      </c>
      <c r="D215" s="63" t="s">
        <v>170</v>
      </c>
      <c r="E215" s="63" t="s">
        <v>94</v>
      </c>
      <c r="F215" s="63" t="s">
        <v>171</v>
      </c>
      <c r="G215" s="63" t="s">
        <v>172</v>
      </c>
      <c r="H215" s="63" t="s">
        <v>173</v>
      </c>
      <c r="I215" s="63" t="s">
        <v>0</v>
      </c>
      <c r="J215" s="63" t="s">
        <v>174</v>
      </c>
      <c r="K215" s="60" t="s">
        <v>145</v>
      </c>
      <c r="L215" s="63" t="s">
        <v>109</v>
      </c>
      <c r="M215" s="139" t="s">
        <v>175</v>
      </c>
      <c r="N215" s="139"/>
      <c r="O215" s="139" t="s">
        <v>158</v>
      </c>
      <c r="P215" s="139"/>
      <c r="Q215" s="139" t="s">
        <v>113</v>
      </c>
      <c r="R215" s="139"/>
      <c r="S215" s="139" t="s">
        <v>176</v>
      </c>
      <c r="T215" s="139"/>
      <c r="U215" s="63" t="s">
        <v>177</v>
      </c>
      <c r="V215" s="63" t="s">
        <v>178</v>
      </c>
      <c r="W215" s="63" t="s">
        <v>179</v>
      </c>
      <c r="X215" s="132" t="s">
        <v>143</v>
      </c>
      <c r="Y215" s="132"/>
      <c r="Z215" s="132" t="s">
        <v>180</v>
      </c>
      <c r="AA215" s="132"/>
      <c r="AB215" s="132" t="s">
        <v>181</v>
      </c>
      <c r="AC215" s="132"/>
      <c r="AD215" s="60" t="s">
        <v>182</v>
      </c>
      <c r="AE215" s="60" t="s">
        <v>183</v>
      </c>
      <c r="AF215" s="60" t="s">
        <v>184</v>
      </c>
      <c r="AG215" s="60" t="s">
        <v>185</v>
      </c>
      <c r="AH215" s="60" t="s">
        <v>186</v>
      </c>
      <c r="AI215" s="60" t="s">
        <v>187</v>
      </c>
      <c r="AJ215" s="60" t="s">
        <v>188</v>
      </c>
      <c r="AK215" s="60" t="s">
        <v>189</v>
      </c>
      <c r="AL215" s="60" t="s">
        <v>190</v>
      </c>
      <c r="AM215" s="60" t="s">
        <v>191</v>
      </c>
      <c r="AN215" s="60" t="s">
        <v>192</v>
      </c>
      <c r="AO215" s="62" t="s">
        <v>193</v>
      </c>
      <c r="AP215" s="61"/>
      <c r="AQ215" s="132" t="s">
        <v>194</v>
      </c>
      <c r="AR215" s="132"/>
      <c r="AS215" s="59" t="s">
        <v>195</v>
      </c>
    </row>
    <row r="216" spans="1:46" s="53" customFormat="1" ht="15" customHeight="1">
      <c r="A216" s="133" t="s">
        <v>227</v>
      </c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  <c r="AB216" s="133"/>
      <c r="AC216" s="133"/>
      <c r="AD216" s="133"/>
      <c r="AE216" s="133"/>
      <c r="AF216" s="133"/>
      <c r="AG216" s="133"/>
      <c r="AH216" s="133"/>
      <c r="AI216" s="133"/>
      <c r="AJ216" s="133"/>
      <c r="AK216" s="133"/>
      <c r="AL216" s="133"/>
      <c r="AM216" s="133"/>
      <c r="AN216" s="133"/>
      <c r="AO216" s="133"/>
      <c r="AP216" s="133"/>
      <c r="AQ216" s="133"/>
      <c r="AR216" s="133"/>
      <c r="AS216" s="133"/>
      <c r="AT216" s="133"/>
    </row>
    <row r="217" spans="1:46" s="53" customFormat="1" ht="27" customHeight="1">
      <c r="A217" s="56" t="s">
        <v>254</v>
      </c>
      <c r="B217" s="56" t="s">
        <v>253</v>
      </c>
      <c r="C217" s="56" t="s">
        <v>197</v>
      </c>
      <c r="D217" s="56" t="s">
        <v>198</v>
      </c>
      <c r="E217" s="58">
        <v>45633</v>
      </c>
      <c r="F217" s="58">
        <v>45633</v>
      </c>
      <c r="G217" s="56" t="s">
        <v>252</v>
      </c>
      <c r="H217" s="56" t="s">
        <v>242</v>
      </c>
      <c r="I217" s="56" t="s">
        <v>251</v>
      </c>
      <c r="J217" s="56" t="s">
        <v>250</v>
      </c>
      <c r="K217" s="54">
        <v>150</v>
      </c>
      <c r="L217" s="57" t="s">
        <v>128</v>
      </c>
      <c r="N217" s="134" t="s">
        <v>199</v>
      </c>
      <c r="O217" s="134"/>
      <c r="P217" s="134" t="s">
        <v>82</v>
      </c>
      <c r="Q217" s="134"/>
      <c r="R217" s="134" t="s">
        <v>249</v>
      </c>
      <c r="S217" s="134"/>
      <c r="T217" s="135" t="s">
        <v>248</v>
      </c>
      <c r="U217" s="135"/>
      <c r="Y217" s="136">
        <v>3000</v>
      </c>
      <c r="Z217" s="136"/>
      <c r="AA217" s="137">
        <v>0</v>
      </c>
      <c r="AB217" s="137"/>
      <c r="AC217" s="54">
        <v>5315.05</v>
      </c>
      <c r="AD217" s="54" t="s">
        <v>201</v>
      </c>
      <c r="AE217" s="54">
        <v>35.43</v>
      </c>
      <c r="AF217" s="55">
        <v>0.666597680172341</v>
      </c>
      <c r="AG217" s="54">
        <v>35.43</v>
      </c>
      <c r="AH217" s="54">
        <v>0</v>
      </c>
      <c r="AI217" s="54">
        <v>0</v>
      </c>
      <c r="AJ217" s="54">
        <v>444000</v>
      </c>
      <c r="AK217" s="54">
        <v>5244.18</v>
      </c>
      <c r="AL217" s="54">
        <v>444000</v>
      </c>
      <c r="AM217" s="54">
        <v>5244.18</v>
      </c>
      <c r="AN217" s="54">
        <v>0</v>
      </c>
      <c r="AO217" s="54">
        <v>0</v>
      </c>
      <c r="AQ217" s="136">
        <v>0</v>
      </c>
      <c r="AR217" s="136"/>
      <c r="AS217" s="54">
        <v>0</v>
      </c>
    </row>
    <row r="218" spans="1:46">
      <c r="Z218" s="52">
        <f>Y217*150</f>
        <v>450000</v>
      </c>
      <c r="AC218" s="54">
        <f>Z218/R209</f>
        <v>5315.0464239777093</v>
      </c>
    </row>
    <row r="219" spans="1:46">
      <c r="AC219" s="52"/>
    </row>
    <row r="220" spans="1:46">
      <c r="U220" s="53"/>
      <c r="Z220" s="52"/>
      <c r="AC220" s="52"/>
    </row>
    <row r="221" spans="1:46">
      <c r="AE221" s="51"/>
    </row>
  </sheetData>
  <mergeCells count="47">
    <mergeCell ref="B48:C48"/>
    <mergeCell ref="B49:C49"/>
    <mergeCell ref="M70:N70"/>
    <mergeCell ref="O70:P70"/>
    <mergeCell ref="Q70:R70"/>
    <mergeCell ref="N72:O72"/>
    <mergeCell ref="P72:Q72"/>
    <mergeCell ref="R72:S72"/>
    <mergeCell ref="T72:U72"/>
    <mergeCell ref="Y72:Z72"/>
    <mergeCell ref="X70:Y70"/>
    <mergeCell ref="Z70:AA70"/>
    <mergeCell ref="AB70:AC70"/>
    <mergeCell ref="AQ70:AR70"/>
    <mergeCell ref="A71:AT71"/>
    <mergeCell ref="S70:T70"/>
    <mergeCell ref="Y73:Z73"/>
    <mergeCell ref="AA72:AB72"/>
    <mergeCell ref="AQ72:AR72"/>
    <mergeCell ref="AA73:AB73"/>
    <mergeCell ref="AQ73:AR73"/>
    <mergeCell ref="B136:C136"/>
    <mergeCell ref="N73:O73"/>
    <mergeCell ref="P73:Q73"/>
    <mergeCell ref="R73:S73"/>
    <mergeCell ref="T73:U73"/>
    <mergeCell ref="B96:C96"/>
    <mergeCell ref="B97:C97"/>
    <mergeCell ref="B137:C137"/>
    <mergeCell ref="B195:C195"/>
    <mergeCell ref="B196:C196"/>
    <mergeCell ref="M215:N215"/>
    <mergeCell ref="O215:P215"/>
    <mergeCell ref="AB215:AC215"/>
    <mergeCell ref="A216:AT216"/>
    <mergeCell ref="N217:O217"/>
    <mergeCell ref="P217:Q217"/>
    <mergeCell ref="R217:S217"/>
    <mergeCell ref="T217:U217"/>
    <mergeCell ref="Y217:Z217"/>
    <mergeCell ref="AA217:AB217"/>
    <mergeCell ref="AQ217:AR217"/>
    <mergeCell ref="AQ215:AR215"/>
    <mergeCell ref="Q215:R215"/>
    <mergeCell ref="S215:T215"/>
    <mergeCell ref="X215:Y215"/>
    <mergeCell ref="Z215:AA21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WAG</vt:lpstr>
      <vt:lpstr>FIFO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 Periyasamy</dc:creator>
  <cp:lastModifiedBy>Vinoth Periyasamy</cp:lastModifiedBy>
  <dcterms:created xsi:type="dcterms:W3CDTF">2024-12-02T10:19:56Z</dcterms:created>
  <dcterms:modified xsi:type="dcterms:W3CDTF">2024-12-16T09:30:24Z</dcterms:modified>
</cp:coreProperties>
</file>